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er\Documents\"/>
    </mc:Choice>
  </mc:AlternateContent>
  <xr:revisionPtr revIDLastSave="0" documentId="8_{94EB799E-FECC-4824-9E8A-5E78DED3198F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Total oversikt" sheetId="1" r:id="rId1"/>
    <sheet name="Kalkyle - 2021" sheetId="2" r:id="rId2"/>
    <sheet name="Lån - Kalkyle 2021" sheetId="4" r:id="rId3"/>
    <sheet name="Risiko" sheetId="3" r:id="rId4"/>
    <sheet name="Oversikt 1 objekt 2021" sheetId="5" r:id="rId5"/>
    <sheet name="Sammenligning A og B" sheetId="6" r:id="rId6"/>
    <sheet name="Skatt ved salg" sheetId="7" r:id="rId7"/>
    <sheet name="Lån A" sheetId="8" r:id="rId8"/>
    <sheet name="Lån B" sheetId="9" r:id="rId9"/>
    <sheet name="Bruksanvisning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R9Hf/9TrSsDytRrhl+l3STN6DxO2bH7sD98MIn1leFI="/>
    </ext>
  </extLst>
</workbook>
</file>

<file path=xl/calcChain.xml><?xml version="1.0" encoding="utf-8"?>
<calcChain xmlns="http://schemas.openxmlformats.org/spreadsheetml/2006/main">
  <c r="D9" i="3" l="1"/>
  <c r="D8" i="3"/>
  <c r="D7" i="3"/>
  <c r="D6" i="3"/>
  <c r="D5" i="3"/>
  <c r="B21" i="3" s="1"/>
  <c r="C39" i="9"/>
  <c r="A33" i="9"/>
  <c r="B33" i="9" s="1"/>
  <c r="A32" i="9"/>
  <c r="A25" i="9"/>
  <c r="B25" i="9" s="1"/>
  <c r="A24" i="9"/>
  <c r="C21" i="9"/>
  <c r="C18" i="9"/>
  <c r="D17" i="9"/>
  <c r="D19" i="9" s="1"/>
  <c r="D16" i="9"/>
  <c r="C6" i="9"/>
  <c r="C4" i="9"/>
  <c r="C39" i="8"/>
  <c r="A35" i="8"/>
  <c r="B35" i="8" s="1"/>
  <c r="B34" i="8"/>
  <c r="A34" i="8"/>
  <c r="A33" i="8"/>
  <c r="B33" i="8" s="1"/>
  <c r="B32" i="8"/>
  <c r="A32" i="8"/>
  <c r="A31" i="8"/>
  <c r="B31" i="8" s="1"/>
  <c r="A29" i="8"/>
  <c r="B29" i="8" s="1"/>
  <c r="A28" i="8"/>
  <c r="B28" i="8" s="1"/>
  <c r="A24" i="8"/>
  <c r="B24" i="8" s="1"/>
  <c r="C21" i="8"/>
  <c r="C18" i="8"/>
  <c r="D17" i="8"/>
  <c r="D19" i="8" s="1"/>
  <c r="D16" i="8"/>
  <c r="C14" i="8"/>
  <c r="J3" i="8" s="1"/>
  <c r="F4" i="8" s="1"/>
  <c r="C6" i="8"/>
  <c r="C4" i="8"/>
  <c r="C3" i="8"/>
  <c r="D20" i="8" s="1"/>
  <c r="E34" i="7"/>
  <c r="E33" i="7"/>
  <c r="E35" i="7" s="1"/>
  <c r="E37" i="7" s="1"/>
  <c r="E30" i="7"/>
  <c r="E20" i="7"/>
  <c r="E9" i="7"/>
  <c r="E6" i="7"/>
  <c r="E17" i="7" s="1"/>
  <c r="F54" i="6"/>
  <c r="B54" i="6"/>
  <c r="G47" i="6"/>
  <c r="G48" i="6" s="1"/>
  <c r="G50" i="6" s="1"/>
  <c r="C47" i="6"/>
  <c r="C48" i="6" s="1"/>
  <c r="C50" i="6" s="1"/>
  <c r="G46" i="6"/>
  <c r="C46" i="6"/>
  <c r="G39" i="6"/>
  <c r="C39" i="6"/>
  <c r="G37" i="6"/>
  <c r="C37" i="6"/>
  <c r="G36" i="6"/>
  <c r="G35" i="6"/>
  <c r="C35" i="6"/>
  <c r="G34" i="6"/>
  <c r="C34" i="6"/>
  <c r="G33" i="6"/>
  <c r="C33" i="6"/>
  <c r="G24" i="6"/>
  <c r="G38" i="6" s="1"/>
  <c r="G23" i="6"/>
  <c r="C23" i="6"/>
  <c r="C24" i="6" s="1"/>
  <c r="G21" i="6"/>
  <c r="C21" i="6"/>
  <c r="C36" i="6" s="1"/>
  <c r="G20" i="6"/>
  <c r="C20" i="6"/>
  <c r="C15" i="6"/>
  <c r="G14" i="6"/>
  <c r="C14" i="6"/>
  <c r="G13" i="6"/>
  <c r="C9" i="6"/>
  <c r="D9" i="6" s="1"/>
  <c r="G25" i="5"/>
  <c r="F25" i="5"/>
  <c r="E25" i="5"/>
  <c r="D25" i="5"/>
  <c r="H8" i="5"/>
  <c r="C39" i="4"/>
  <c r="A34" i="4"/>
  <c r="B34" i="4" s="1"/>
  <c r="A33" i="4"/>
  <c r="B31" i="4"/>
  <c r="A31" i="4"/>
  <c r="B30" i="4"/>
  <c r="A29" i="4"/>
  <c r="B29" i="4" s="1"/>
  <c r="A26" i="4"/>
  <c r="B26" i="4" s="1"/>
  <c r="C21" i="4"/>
  <c r="C18" i="4"/>
  <c r="D17" i="4"/>
  <c r="D19" i="4" s="1"/>
  <c r="D16" i="4"/>
  <c r="C6" i="4"/>
  <c r="C4" i="4"/>
  <c r="C23" i="2"/>
  <c r="C22" i="2"/>
  <c r="C24" i="2" s="1"/>
  <c r="F17" i="2"/>
  <c r="F16" i="2"/>
  <c r="F15" i="2"/>
  <c r="I14" i="2"/>
  <c r="F14" i="2"/>
  <c r="C14" i="2"/>
  <c r="F13" i="2"/>
  <c r="C13" i="2"/>
  <c r="D7" i="2" s="1"/>
  <c r="E7" i="2" s="1"/>
  <c r="I12" i="2"/>
  <c r="F12" i="2"/>
  <c r="I11" i="2"/>
  <c r="F11" i="2"/>
  <c r="D32" i="1"/>
  <c r="D27" i="1"/>
  <c r="N25" i="1"/>
  <c r="N24" i="1"/>
  <c r="N27" i="1" s="1"/>
  <c r="N30" i="1" s="1"/>
  <c r="D21" i="1"/>
  <c r="D29" i="1" s="1"/>
  <c r="D31" i="1" s="1"/>
  <c r="D33" i="1" s="1"/>
  <c r="D34" i="1" s="1"/>
  <c r="N19" i="1"/>
  <c r="N18" i="1"/>
  <c r="N17" i="1"/>
  <c r="N21" i="1" s="1"/>
  <c r="N16" i="1"/>
  <c r="N15" i="1"/>
  <c r="N14" i="1"/>
  <c r="N32" i="1" s="1"/>
  <c r="D14" i="1"/>
  <c r="N11" i="1"/>
  <c r="D10" i="1"/>
  <c r="N10" i="1" s="1"/>
  <c r="D9" i="1"/>
  <c r="N7" i="1"/>
  <c r="N6" i="1"/>
  <c r="C38" i="6" l="1"/>
  <c r="C25" i="6"/>
  <c r="B33" i="4"/>
  <c r="C3" i="4"/>
  <c r="C14" i="4" s="1"/>
  <c r="J3" i="4" s="1"/>
  <c r="F4" i="4" s="1"/>
  <c r="C15" i="4"/>
  <c r="C16" i="4" s="1"/>
  <c r="C17" i="4" s="1"/>
  <c r="G25" i="6"/>
  <c r="B32" i="9"/>
  <c r="C3" i="9"/>
  <c r="C14" i="9" s="1"/>
  <c r="G15" i="6"/>
  <c r="G9" i="6"/>
  <c r="H9" i="6" s="1"/>
  <c r="H4" i="8"/>
  <c r="D20" i="4"/>
  <c r="N29" i="1"/>
  <c r="N31" i="1" s="1"/>
  <c r="N33" i="1" s="1"/>
  <c r="N34" i="1" s="1"/>
  <c r="C15" i="8"/>
  <c r="C34" i="8" s="1"/>
  <c r="D34" i="8" s="1"/>
  <c r="B24" i="9"/>
  <c r="A28" i="4"/>
  <c r="B28" i="4" s="1"/>
  <c r="A24" i="4"/>
  <c r="B24" i="4" s="1"/>
  <c r="A35" i="4"/>
  <c r="B35" i="4" s="1"/>
  <c r="A25" i="4"/>
  <c r="B25" i="4" s="1"/>
  <c r="A32" i="4"/>
  <c r="B32" i="4" s="1"/>
  <c r="A27" i="4"/>
  <c r="A26" i="8"/>
  <c r="B26" i="8" s="1"/>
  <c r="B30" i="8"/>
  <c r="A25" i="8"/>
  <c r="B25" i="8" s="1"/>
  <c r="A27" i="8"/>
  <c r="I13" i="2"/>
  <c r="I15" i="2" s="1"/>
  <c r="A34" i="9"/>
  <c r="B34" i="9" s="1"/>
  <c r="A27" i="9"/>
  <c r="B30" i="9"/>
  <c r="A35" i="9"/>
  <c r="A29" i="9"/>
  <c r="A28" i="9"/>
  <c r="A26" i="9"/>
  <c r="A31" i="9"/>
  <c r="D27" i="5"/>
  <c r="D29" i="5" s="1"/>
  <c r="B28" i="9" l="1"/>
  <c r="B29" i="9"/>
  <c r="C35" i="8"/>
  <c r="D35" i="8" s="1"/>
  <c r="G4" i="8"/>
  <c r="I4" i="8" s="1"/>
  <c r="B27" i="9"/>
  <c r="C27" i="8"/>
  <c r="D27" i="8" s="1"/>
  <c r="B27" i="8"/>
  <c r="C25" i="4"/>
  <c r="D25" i="4" s="1"/>
  <c r="C28" i="4"/>
  <c r="D28" i="4" s="1"/>
  <c r="B35" i="9"/>
  <c r="J3" i="9"/>
  <c r="F4" i="9" s="1"/>
  <c r="C15" i="9"/>
  <c r="C16" i="9" s="1"/>
  <c r="C17" i="9" s="1"/>
  <c r="C33" i="9"/>
  <c r="D33" i="9" s="1"/>
  <c r="B27" i="4"/>
  <c r="C27" i="4"/>
  <c r="D27" i="4" s="1"/>
  <c r="C32" i="9"/>
  <c r="D32" i="9" s="1"/>
  <c r="C35" i="4"/>
  <c r="D35" i="4" s="1"/>
  <c r="C29" i="4"/>
  <c r="D29" i="4" s="1"/>
  <c r="C25" i="9"/>
  <c r="D25" i="9" s="1"/>
  <c r="C30" i="4"/>
  <c r="D30" i="4" s="1"/>
  <c r="C31" i="4"/>
  <c r="D31" i="4" s="1"/>
  <c r="C24" i="9"/>
  <c r="D24" i="9" s="1"/>
  <c r="C32" i="4"/>
  <c r="D32" i="4" s="1"/>
  <c r="C26" i="4"/>
  <c r="D26" i="4" s="1"/>
  <c r="C28" i="8"/>
  <c r="D28" i="8" s="1"/>
  <c r="C24" i="4"/>
  <c r="D24" i="4" s="1"/>
  <c r="C31" i="8"/>
  <c r="D31" i="8" s="1"/>
  <c r="C34" i="4"/>
  <c r="D34" i="4" s="1"/>
  <c r="C32" i="8"/>
  <c r="D32" i="8" s="1"/>
  <c r="C16" i="8"/>
  <c r="C17" i="8" s="1"/>
  <c r="C24" i="8"/>
  <c r="D24" i="8" s="1"/>
  <c r="C29" i="8"/>
  <c r="D29" i="8" s="1"/>
  <c r="G4" i="4"/>
  <c r="H4" i="4"/>
  <c r="I4" i="4"/>
  <c r="C25" i="8"/>
  <c r="D25" i="8" s="1"/>
  <c r="C33" i="8"/>
  <c r="D33" i="8" s="1"/>
  <c r="C19" i="4"/>
  <c r="C20" i="4" s="1"/>
  <c r="C33" i="4"/>
  <c r="D33" i="4" s="1"/>
  <c r="D20" i="9"/>
  <c r="C30" i="8"/>
  <c r="D30" i="8" s="1"/>
  <c r="C31" i="9"/>
  <c r="D31" i="9" s="1"/>
  <c r="B31" i="9"/>
  <c r="C26" i="9"/>
  <c r="D26" i="9" s="1"/>
  <c r="B26" i="9"/>
  <c r="C26" i="8"/>
  <c r="D26" i="8" s="1"/>
  <c r="C27" i="9" l="1"/>
  <c r="D27" i="9" s="1"/>
  <c r="C30" i="9"/>
  <c r="D30" i="9" s="1"/>
  <c r="I4" i="9"/>
  <c r="H4" i="9"/>
  <c r="G4" i="9"/>
  <c r="C29" i="9"/>
  <c r="D29" i="9" s="1"/>
  <c r="C19" i="9"/>
  <c r="C20" i="9" s="1"/>
  <c r="C35" i="9"/>
  <c r="D35" i="9" s="1"/>
  <c r="J4" i="8"/>
  <c r="F5" i="8" s="1"/>
  <c r="C34" i="9"/>
  <c r="D34" i="9" s="1"/>
  <c r="J4" i="4"/>
  <c r="F5" i="4" s="1"/>
  <c r="C19" i="8"/>
  <c r="C20" i="8" s="1"/>
  <c r="C28" i="9"/>
  <c r="D28" i="9" s="1"/>
  <c r="H5" i="4" l="1"/>
  <c r="G5" i="4"/>
  <c r="I5" i="4" s="1"/>
  <c r="I5" i="8"/>
  <c r="H5" i="8"/>
  <c r="G5" i="8"/>
  <c r="J4" i="9"/>
  <c r="F5" i="9" s="1"/>
  <c r="J5" i="4" l="1"/>
  <c r="F6" i="4" s="1"/>
  <c r="H5" i="9"/>
  <c r="G5" i="9"/>
  <c r="I5" i="9" s="1"/>
  <c r="J5" i="8"/>
  <c r="F6" i="8" s="1"/>
  <c r="J5" i="9" l="1"/>
  <c r="F6" i="9" s="1"/>
  <c r="H6" i="8"/>
  <c r="G6" i="8"/>
  <c r="I6" i="8" s="1"/>
  <c r="G6" i="4"/>
  <c r="H6" i="4"/>
  <c r="I6" i="4"/>
  <c r="J6" i="8" l="1"/>
  <c r="F7" i="8" s="1"/>
  <c r="J6" i="4"/>
  <c r="F7" i="4" s="1"/>
  <c r="I6" i="9"/>
  <c r="H6" i="9"/>
  <c r="G6" i="9"/>
  <c r="J6" i="9" l="1"/>
  <c r="F7" i="9" s="1"/>
  <c r="H7" i="4"/>
  <c r="G7" i="4"/>
  <c r="I7" i="4" s="1"/>
  <c r="J7" i="4" s="1"/>
  <c r="F8" i="4" s="1"/>
  <c r="G7" i="8"/>
  <c r="J7" i="8"/>
  <c r="F8" i="8" s="1"/>
  <c r="H7" i="8"/>
  <c r="I7" i="8"/>
  <c r="G8" i="8" l="1"/>
  <c r="I8" i="8" s="1"/>
  <c r="J8" i="8" s="1"/>
  <c r="F9" i="8" s="1"/>
  <c r="H8" i="8"/>
  <c r="H8" i="4"/>
  <c r="G8" i="4"/>
  <c r="I8" i="4" s="1"/>
  <c r="J8" i="4" s="1"/>
  <c r="F9" i="4" s="1"/>
  <c r="H7" i="9"/>
  <c r="G7" i="9"/>
  <c r="I7" i="9"/>
  <c r="J7" i="9" s="1"/>
  <c r="F8" i="9" s="1"/>
  <c r="H8" i="9" l="1"/>
  <c r="G8" i="9"/>
  <c r="I8" i="9" s="1"/>
  <c r="J8" i="9" s="1"/>
  <c r="F9" i="9" s="1"/>
  <c r="H9" i="4"/>
  <c r="G9" i="4"/>
  <c r="I9" i="4" s="1"/>
  <c r="J9" i="4" s="1"/>
  <c r="F10" i="4" s="1"/>
  <c r="G9" i="8"/>
  <c r="I9" i="8"/>
  <c r="J9" i="8" s="1"/>
  <c r="F10" i="8" s="1"/>
  <c r="H9" i="8"/>
  <c r="H10" i="4" l="1"/>
  <c r="G10" i="4"/>
  <c r="I10" i="4" s="1"/>
  <c r="J10" i="4" s="1"/>
  <c r="F11" i="4" s="1"/>
  <c r="I9" i="9"/>
  <c r="J9" i="9" s="1"/>
  <c r="F10" i="9" s="1"/>
  <c r="H9" i="9"/>
  <c r="G9" i="9"/>
  <c r="H10" i="8"/>
  <c r="G10" i="8"/>
  <c r="I10" i="8" s="1"/>
  <c r="J10" i="8" s="1"/>
  <c r="F11" i="8" s="1"/>
  <c r="H11" i="4" l="1"/>
  <c r="G11" i="4"/>
  <c r="I11" i="4" s="1"/>
  <c r="J11" i="4" s="1"/>
  <c r="F12" i="4" s="1"/>
  <c r="G11" i="8"/>
  <c r="H11" i="8"/>
  <c r="I11" i="8" s="1"/>
  <c r="J11" i="8" s="1"/>
  <c r="F12" i="8" s="1"/>
  <c r="H10" i="9"/>
  <c r="G10" i="9"/>
  <c r="I10" i="9" s="1"/>
  <c r="J10" i="9" s="1"/>
  <c r="F11" i="9" s="1"/>
  <c r="H12" i="8" l="1"/>
  <c r="G12" i="8"/>
  <c r="I12" i="8"/>
  <c r="J12" i="8" s="1"/>
  <c r="F13" i="8" s="1"/>
  <c r="H11" i="9"/>
  <c r="I11" i="9" s="1"/>
  <c r="J11" i="9" s="1"/>
  <c r="F12" i="9" s="1"/>
  <c r="G11" i="9"/>
  <c r="H12" i="4"/>
  <c r="G12" i="4"/>
  <c r="I12" i="4"/>
  <c r="J12" i="4" s="1"/>
  <c r="F13" i="4" s="1"/>
  <c r="G13" i="4" l="1"/>
  <c r="I13" i="4"/>
  <c r="J13" i="4" s="1"/>
  <c r="F14" i="4" s="1"/>
  <c r="H13" i="4"/>
  <c r="H12" i="9"/>
  <c r="G12" i="9"/>
  <c r="I12" i="9" s="1"/>
  <c r="J12" i="9" s="1"/>
  <c r="F13" i="9" s="1"/>
  <c r="H13" i="8"/>
  <c r="I13" i="8" s="1"/>
  <c r="J13" i="8" s="1"/>
  <c r="F14" i="8" s="1"/>
  <c r="G13" i="8"/>
  <c r="G13" i="9" l="1"/>
  <c r="I13" i="9" s="1"/>
  <c r="J13" i="9" s="1"/>
  <c r="F14" i="9" s="1"/>
  <c r="H13" i="9"/>
  <c r="H14" i="8"/>
  <c r="I14" i="8" s="1"/>
  <c r="J14" i="8" s="1"/>
  <c r="F15" i="8" s="1"/>
  <c r="G14" i="8"/>
  <c r="I14" i="4"/>
  <c r="G14" i="4"/>
  <c r="J14" i="4"/>
  <c r="F15" i="4" s="1"/>
  <c r="H14" i="4"/>
  <c r="H15" i="4" l="1"/>
  <c r="M4" i="4" s="1"/>
  <c r="G15" i="4"/>
  <c r="I15" i="4" s="1"/>
  <c r="G15" i="8"/>
  <c r="H15" i="8"/>
  <c r="M4" i="8" s="1"/>
  <c r="H14" i="9"/>
  <c r="G14" i="9"/>
  <c r="I14" i="9" s="1"/>
  <c r="J14" i="9" s="1"/>
  <c r="F15" i="9" s="1"/>
  <c r="H15" i="9" l="1"/>
  <c r="M4" i="9" s="1"/>
  <c r="G15" i="9"/>
  <c r="I15" i="9" s="1"/>
  <c r="N4" i="4"/>
  <c r="J15" i="4"/>
  <c r="F16" i="4" s="1"/>
  <c r="C40" i="6"/>
  <c r="C26" i="6"/>
  <c r="I15" i="8"/>
  <c r="C25" i="2"/>
  <c r="F19" i="2"/>
  <c r="F20" i="2" s="1"/>
  <c r="N4" i="9" l="1"/>
  <c r="G41" i="6" s="1"/>
  <c r="J15" i="9"/>
  <c r="F16" i="9" s="1"/>
  <c r="C27" i="6"/>
  <c r="C28" i="6"/>
  <c r="C29" i="6" s="1"/>
  <c r="C30" i="6" s="1"/>
  <c r="H16" i="4"/>
  <c r="G16" i="4"/>
  <c r="I16" i="4" s="1"/>
  <c r="C26" i="2"/>
  <c r="C27" i="2"/>
  <c r="C28" i="2" s="1"/>
  <c r="C29" i="2" s="1"/>
  <c r="C42" i="6"/>
  <c r="N4" i="8"/>
  <c r="C41" i="6" s="1"/>
  <c r="J15" i="8"/>
  <c r="F16" i="8" s="1"/>
  <c r="G40" i="6"/>
  <c r="G42" i="6" s="1"/>
  <c r="G26" i="6"/>
  <c r="J16" i="4" l="1"/>
  <c r="F17" i="4" s="1"/>
  <c r="H16" i="8"/>
  <c r="G16" i="8"/>
  <c r="I16" i="8"/>
  <c r="J16" i="8" s="1"/>
  <c r="F17" i="8" s="1"/>
  <c r="G27" i="6"/>
  <c r="G28" i="6"/>
  <c r="G29" i="6" s="1"/>
  <c r="G30" i="6" s="1"/>
  <c r="H16" i="9"/>
  <c r="G16" i="9"/>
  <c r="I16" i="9" s="1"/>
  <c r="J16" i="9" l="1"/>
  <c r="F17" i="9" s="1"/>
  <c r="H17" i="8"/>
  <c r="G17" i="8"/>
  <c r="I17" i="8" s="1"/>
  <c r="G17" i="4"/>
  <c r="I17" i="4" s="1"/>
  <c r="H17" i="4"/>
  <c r="J17" i="4" l="1"/>
  <c r="F18" i="4" s="1"/>
  <c r="J17" i="8"/>
  <c r="F18" i="8" s="1"/>
  <c r="G17" i="9"/>
  <c r="I17" i="9" s="1"/>
  <c r="H17" i="9"/>
  <c r="J17" i="9" l="1"/>
  <c r="F18" i="9" s="1"/>
  <c r="H18" i="8"/>
  <c r="G18" i="8"/>
  <c r="I18" i="8" s="1"/>
  <c r="H18" i="4"/>
  <c r="G18" i="4"/>
  <c r="I18" i="4" s="1"/>
  <c r="J18" i="4" l="1"/>
  <c r="F19" i="4" s="1"/>
  <c r="J18" i="8"/>
  <c r="F19" i="8" s="1"/>
  <c r="G18" i="9"/>
  <c r="I18" i="9" s="1"/>
  <c r="H18" i="9"/>
  <c r="J18" i="9" l="1"/>
  <c r="F19" i="9" s="1"/>
  <c r="H19" i="8"/>
  <c r="G19" i="8"/>
  <c r="I19" i="8" s="1"/>
  <c r="H19" i="4"/>
  <c r="I19" i="4"/>
  <c r="G19" i="4"/>
  <c r="J19" i="8" l="1"/>
  <c r="F20" i="8" s="1"/>
  <c r="J19" i="4"/>
  <c r="F20" i="4" s="1"/>
  <c r="I19" i="9"/>
  <c r="H19" i="9"/>
  <c r="G19" i="9"/>
  <c r="J19" i="9" l="1"/>
  <c r="F20" i="9" s="1"/>
  <c r="H20" i="8"/>
  <c r="G20" i="8"/>
  <c r="I20" i="8" s="1"/>
  <c r="J20" i="8" s="1"/>
  <c r="F21" i="8" s="1"/>
  <c r="G20" i="4"/>
  <c r="H20" i="4"/>
  <c r="I20" i="4" s="1"/>
  <c r="J20" i="4" s="1"/>
  <c r="F21" i="4" s="1"/>
  <c r="G21" i="4" l="1"/>
  <c r="I21" i="4" s="1"/>
  <c r="J21" i="4" s="1"/>
  <c r="F22" i="4" s="1"/>
  <c r="H21" i="4"/>
  <c r="H21" i="8"/>
  <c r="I21" i="8"/>
  <c r="J21" i="8" s="1"/>
  <c r="F22" i="8" s="1"/>
  <c r="G21" i="8"/>
  <c r="H20" i="9"/>
  <c r="G20" i="9"/>
  <c r="I20" i="9" s="1"/>
  <c r="J20" i="9" s="1"/>
  <c r="F21" i="9" s="1"/>
  <c r="H21" i="9" l="1"/>
  <c r="G21" i="9"/>
  <c r="I21" i="9" s="1"/>
  <c r="J21" i="9" s="1"/>
  <c r="F22" i="9" s="1"/>
  <c r="I22" i="8"/>
  <c r="J22" i="8" s="1"/>
  <c r="F23" i="8" s="1"/>
  <c r="G22" i="8"/>
  <c r="H22" i="8"/>
  <c r="I22" i="4"/>
  <c r="J22" i="4" s="1"/>
  <c r="F23" i="4" s="1"/>
  <c r="H22" i="4"/>
  <c r="G22" i="4"/>
  <c r="H23" i="4" l="1"/>
  <c r="G23" i="4"/>
  <c r="I23" i="4" s="1"/>
  <c r="J23" i="4" s="1"/>
  <c r="F24" i="4" s="1"/>
  <c r="H23" i="8"/>
  <c r="G23" i="8"/>
  <c r="I23" i="8" s="1"/>
  <c r="J23" i="8" s="1"/>
  <c r="F24" i="8" s="1"/>
  <c r="H22" i="9"/>
  <c r="G22" i="9"/>
  <c r="I22" i="9" s="1"/>
  <c r="J22" i="9" s="1"/>
  <c r="F23" i="9" s="1"/>
  <c r="G23" i="9" l="1"/>
  <c r="I23" i="9" s="1"/>
  <c r="J23" i="9" s="1"/>
  <c r="F24" i="9" s="1"/>
  <c r="H23" i="9"/>
  <c r="H24" i="8"/>
  <c r="G24" i="8"/>
  <c r="I24" i="8" s="1"/>
  <c r="J24" i="8" s="1"/>
  <c r="F25" i="8" s="1"/>
  <c r="J24" i="4"/>
  <c r="F25" i="4" s="1"/>
  <c r="H24" i="4"/>
  <c r="G24" i="4"/>
  <c r="I24" i="4"/>
  <c r="H25" i="8" l="1"/>
  <c r="G25" i="8"/>
  <c r="I25" i="8" s="1"/>
  <c r="J25" i="8" s="1"/>
  <c r="F26" i="8" s="1"/>
  <c r="H25" i="4"/>
  <c r="G25" i="4"/>
  <c r="I25" i="4" s="1"/>
  <c r="J25" i="4" s="1"/>
  <c r="F26" i="4" s="1"/>
  <c r="I24" i="9"/>
  <c r="J24" i="9" s="1"/>
  <c r="F25" i="9" s="1"/>
  <c r="H24" i="9"/>
  <c r="G24" i="9"/>
  <c r="G26" i="4" l="1"/>
  <c r="H26" i="4"/>
  <c r="I26" i="4" s="1"/>
  <c r="J26" i="4" s="1"/>
  <c r="F27" i="4" s="1"/>
  <c r="H25" i="9"/>
  <c r="G25" i="9"/>
  <c r="I25" i="9" s="1"/>
  <c r="J25" i="9" s="1"/>
  <c r="F26" i="9" s="1"/>
  <c r="H26" i="8"/>
  <c r="G26" i="8"/>
  <c r="I26" i="8" s="1"/>
  <c r="J26" i="8" s="1"/>
  <c r="F27" i="8" s="1"/>
  <c r="H26" i="9" l="1"/>
  <c r="G26" i="9"/>
  <c r="I26" i="9" s="1"/>
  <c r="J26" i="9" s="1"/>
  <c r="F27" i="9" s="1"/>
  <c r="G27" i="8"/>
  <c r="I27" i="8" s="1"/>
  <c r="H27" i="8"/>
  <c r="M5" i="8" s="1"/>
  <c r="H27" i="4"/>
  <c r="M5" i="4" s="1"/>
  <c r="G27" i="4"/>
  <c r="I27" i="4" s="1"/>
  <c r="N5" i="8" l="1"/>
  <c r="J27" i="8"/>
  <c r="F28" i="8" s="1"/>
  <c r="N5" i="4"/>
  <c r="J27" i="4"/>
  <c r="F28" i="4" s="1"/>
  <c r="H27" i="9"/>
  <c r="M5" i="9" s="1"/>
  <c r="G27" i="9"/>
  <c r="I27" i="9" s="1"/>
  <c r="N5" i="9" l="1"/>
  <c r="J27" i="9"/>
  <c r="F28" i="9" s="1"/>
  <c r="H28" i="4"/>
  <c r="G28" i="4"/>
  <c r="I28" i="4" s="1"/>
  <c r="I28" i="8"/>
  <c r="H28" i="8"/>
  <c r="G28" i="8"/>
  <c r="J28" i="4" l="1"/>
  <c r="F29" i="4" s="1"/>
  <c r="J28" i="8"/>
  <c r="F29" i="8" s="1"/>
  <c r="H28" i="9"/>
  <c r="G28" i="9"/>
  <c r="I28" i="9"/>
  <c r="J28" i="9" l="1"/>
  <c r="F29" i="9" s="1"/>
  <c r="H29" i="8"/>
  <c r="G29" i="8"/>
  <c r="I29" i="8" s="1"/>
  <c r="H29" i="4"/>
  <c r="G29" i="4"/>
  <c r="I29" i="4" s="1"/>
  <c r="J29" i="4" l="1"/>
  <c r="F30" i="4" s="1"/>
  <c r="J29" i="8"/>
  <c r="F30" i="8" s="1"/>
  <c r="H29" i="9"/>
  <c r="G29" i="9"/>
  <c r="I29" i="9" s="1"/>
  <c r="J29" i="9" l="1"/>
  <c r="F30" i="9" s="1"/>
  <c r="H30" i="8"/>
  <c r="G30" i="8"/>
  <c r="I30" i="8" s="1"/>
  <c r="G30" i="4"/>
  <c r="I30" i="4" s="1"/>
  <c r="H30" i="4"/>
  <c r="J30" i="4" l="1"/>
  <c r="F31" i="4" s="1"/>
  <c r="J30" i="8"/>
  <c r="F31" i="8" s="1"/>
  <c r="H30" i="9"/>
  <c r="G30" i="9"/>
  <c r="I30" i="9"/>
  <c r="G31" i="8" l="1"/>
  <c r="H31" i="8"/>
  <c r="I31" i="8"/>
  <c r="J30" i="9"/>
  <c r="F31" i="9" s="1"/>
  <c r="H31" i="4"/>
  <c r="G31" i="4"/>
  <c r="I31" i="4"/>
  <c r="J31" i="4" l="1"/>
  <c r="F32" i="4" s="1"/>
  <c r="H31" i="9"/>
  <c r="G31" i="9"/>
  <c r="I31" i="9" s="1"/>
  <c r="J31" i="9" s="1"/>
  <c r="F32" i="9" s="1"/>
  <c r="J31" i="8"/>
  <c r="F32" i="8" s="1"/>
  <c r="H32" i="9" l="1"/>
  <c r="G32" i="9"/>
  <c r="I32" i="9"/>
  <c r="J32" i="9" s="1"/>
  <c r="F33" i="9" s="1"/>
  <c r="G32" i="8"/>
  <c r="I32" i="8"/>
  <c r="J32" i="8" s="1"/>
  <c r="F33" i="8" s="1"/>
  <c r="H32" i="8"/>
  <c r="I32" i="4"/>
  <c r="J32" i="4" s="1"/>
  <c r="F33" i="4" s="1"/>
  <c r="H32" i="4"/>
  <c r="G32" i="4"/>
  <c r="H33" i="4" l="1"/>
  <c r="G33" i="4"/>
  <c r="I33" i="4" s="1"/>
  <c r="J33" i="4" s="1"/>
  <c r="F34" i="4" s="1"/>
  <c r="H33" i="8"/>
  <c r="G33" i="8"/>
  <c r="I33" i="8" s="1"/>
  <c r="J33" i="8" s="1"/>
  <c r="F34" i="8" s="1"/>
  <c r="H33" i="9"/>
  <c r="G33" i="9"/>
  <c r="I33" i="9" s="1"/>
  <c r="J33" i="9" s="1"/>
  <c r="F34" i="9" s="1"/>
  <c r="H34" i="9" l="1"/>
  <c r="G34" i="9"/>
  <c r="I34" i="9" s="1"/>
  <c r="J34" i="9" s="1"/>
  <c r="F35" i="9" s="1"/>
  <c r="H34" i="8"/>
  <c r="G34" i="8"/>
  <c r="J34" i="8"/>
  <c r="F35" i="8" s="1"/>
  <c r="I34" i="8"/>
  <c r="G34" i="4"/>
  <c r="I34" i="4"/>
  <c r="J34" i="4" s="1"/>
  <c r="F35" i="4" s="1"/>
  <c r="H34" i="4"/>
  <c r="H35" i="4" l="1"/>
  <c r="G35" i="4"/>
  <c r="I35" i="4" s="1"/>
  <c r="J35" i="4" s="1"/>
  <c r="F36" i="4" s="1"/>
  <c r="H35" i="8"/>
  <c r="G35" i="8"/>
  <c r="I35" i="8" s="1"/>
  <c r="J35" i="8" s="1"/>
  <c r="F36" i="8" s="1"/>
  <c r="H35" i="9"/>
  <c r="G35" i="9"/>
  <c r="I35" i="9" s="1"/>
  <c r="J35" i="9" s="1"/>
  <c r="F36" i="9" s="1"/>
  <c r="H36" i="9" l="1"/>
  <c r="G36" i="9"/>
  <c r="I36" i="9" s="1"/>
  <c r="J36" i="9" s="1"/>
  <c r="F37" i="9" s="1"/>
  <c r="H36" i="8"/>
  <c r="G36" i="8"/>
  <c r="I36" i="8" s="1"/>
  <c r="J36" i="8" s="1"/>
  <c r="F37" i="8" s="1"/>
  <c r="H36" i="4"/>
  <c r="G36" i="4"/>
  <c r="I36" i="4" s="1"/>
  <c r="J36" i="4" s="1"/>
  <c r="F37" i="4" s="1"/>
  <c r="H37" i="4" l="1"/>
  <c r="G37" i="4"/>
  <c r="J37" i="4"/>
  <c r="F38" i="4" s="1"/>
  <c r="I37" i="4"/>
  <c r="H37" i="8"/>
  <c r="G37" i="8"/>
  <c r="I37" i="8" s="1"/>
  <c r="J37" i="8" s="1"/>
  <c r="F38" i="8" s="1"/>
  <c r="G37" i="9"/>
  <c r="H37" i="9"/>
  <c r="I37" i="9" s="1"/>
  <c r="J37" i="9" s="1"/>
  <c r="F38" i="9" s="1"/>
  <c r="G38" i="9" l="1"/>
  <c r="I38" i="9" s="1"/>
  <c r="J38" i="9" s="1"/>
  <c r="F39" i="9" s="1"/>
  <c r="H38" i="9"/>
  <c r="G38" i="8"/>
  <c r="I38" i="8" s="1"/>
  <c r="J38" i="8" s="1"/>
  <c r="F39" i="8" s="1"/>
  <c r="H38" i="8"/>
  <c r="G38" i="4"/>
  <c r="I38" i="4"/>
  <c r="J38" i="4" s="1"/>
  <c r="F39" i="4" s="1"/>
  <c r="H38" i="4"/>
  <c r="G39" i="4" l="1"/>
  <c r="H39" i="4"/>
  <c r="M6" i="4" s="1"/>
  <c r="J39" i="4"/>
  <c r="F40" i="4" s="1"/>
  <c r="I39" i="4"/>
  <c r="N6" i="4" s="1"/>
  <c r="G39" i="8"/>
  <c r="H39" i="8"/>
  <c r="M6" i="8" s="1"/>
  <c r="G39" i="9"/>
  <c r="I39" i="9"/>
  <c r="N6" i="9" s="1"/>
  <c r="H39" i="9"/>
  <c r="M6" i="9" s="1"/>
  <c r="H40" i="4" l="1"/>
  <c r="I40" i="4"/>
  <c r="G40" i="4"/>
  <c r="J39" i="9"/>
  <c r="F40" i="9" s="1"/>
  <c r="I39" i="8"/>
  <c r="H40" i="9" l="1"/>
  <c r="G40" i="9"/>
  <c r="I40" i="9" s="1"/>
  <c r="N6" i="8"/>
  <c r="J39" i="8"/>
  <c r="F40" i="8" s="1"/>
  <c r="J40" i="4"/>
  <c r="F41" i="4" s="1"/>
  <c r="J40" i="9" l="1"/>
  <c r="F41" i="9" s="1"/>
  <c r="G41" i="4"/>
  <c r="H41" i="4"/>
  <c r="G40" i="8"/>
  <c r="I40" i="8"/>
  <c r="H40" i="8"/>
  <c r="I41" i="4" l="1"/>
  <c r="J40" i="8"/>
  <c r="F41" i="8" s="1"/>
  <c r="G41" i="9"/>
  <c r="H41" i="9"/>
  <c r="J41" i="9"/>
  <c r="F42" i="9" s="1"/>
  <c r="I41" i="9"/>
  <c r="H42" i="9" l="1"/>
  <c r="G42" i="9"/>
  <c r="I42" i="9" s="1"/>
  <c r="G41" i="8"/>
  <c r="H41" i="8"/>
  <c r="J41" i="4"/>
  <c r="F42" i="4" s="1"/>
  <c r="J42" i="9" l="1"/>
  <c r="F43" i="9" s="1"/>
  <c r="H42" i="4"/>
  <c r="G42" i="4"/>
  <c r="I42" i="4"/>
  <c r="I41" i="8"/>
  <c r="J41" i="8" l="1"/>
  <c r="F42" i="8" s="1"/>
  <c r="J42" i="4"/>
  <c r="F43" i="4" s="1"/>
  <c r="H43" i="9"/>
  <c r="G43" i="9"/>
  <c r="I43" i="9" s="1"/>
  <c r="J43" i="9" l="1"/>
  <c r="F44" i="9" s="1"/>
  <c r="G42" i="8"/>
  <c r="H42" i="8"/>
  <c r="H43" i="4"/>
  <c r="G43" i="4"/>
  <c r="I43" i="4" s="1"/>
  <c r="J43" i="4" s="1"/>
  <c r="F44" i="4" s="1"/>
  <c r="H44" i="4" l="1"/>
  <c r="G44" i="4"/>
  <c r="I44" i="4" s="1"/>
  <c r="J44" i="4" s="1"/>
  <c r="F45" i="4" s="1"/>
  <c r="I42" i="8"/>
  <c r="I44" i="9"/>
  <c r="J44" i="9" s="1"/>
  <c r="F45" i="9" s="1"/>
  <c r="H44" i="9"/>
  <c r="G44" i="9"/>
  <c r="H45" i="9" l="1"/>
  <c r="G45" i="9"/>
  <c r="I45" i="9" s="1"/>
  <c r="J45" i="9" s="1"/>
  <c r="F46" i="9" s="1"/>
  <c r="H45" i="4"/>
  <c r="G45" i="4"/>
  <c r="I45" i="4" s="1"/>
  <c r="J45" i="4" s="1"/>
  <c r="F46" i="4" s="1"/>
  <c r="J42" i="8"/>
  <c r="F43" i="8" s="1"/>
  <c r="G46" i="4" l="1"/>
  <c r="I46" i="4" s="1"/>
  <c r="J46" i="4" s="1"/>
  <c r="F47" i="4" s="1"/>
  <c r="H46" i="4"/>
  <c r="H46" i="9"/>
  <c r="G46" i="9"/>
  <c r="I46" i="9" s="1"/>
  <c r="J46" i="9" s="1"/>
  <c r="F47" i="9" s="1"/>
  <c r="H43" i="8"/>
  <c r="G43" i="8"/>
  <c r="I43" i="8" s="1"/>
  <c r="H47" i="9" l="1"/>
  <c r="G47" i="9"/>
  <c r="I47" i="9" s="1"/>
  <c r="J47" i="9" s="1"/>
  <c r="F48" i="9" s="1"/>
  <c r="J43" i="8"/>
  <c r="F44" i="8" s="1"/>
  <c r="G47" i="4"/>
  <c r="I47" i="4" s="1"/>
  <c r="J47" i="4" s="1"/>
  <c r="F48" i="4" s="1"/>
  <c r="H47" i="4"/>
  <c r="H48" i="4" l="1"/>
  <c r="G48" i="4"/>
  <c r="I48" i="4" s="1"/>
  <c r="J48" i="4" s="1"/>
  <c r="F49" i="4" s="1"/>
  <c r="H48" i="9"/>
  <c r="G48" i="9"/>
  <c r="I48" i="9" s="1"/>
  <c r="J48" i="9" s="1"/>
  <c r="F49" i="9" s="1"/>
  <c r="H44" i="8"/>
  <c r="G44" i="8"/>
  <c r="I44" i="8" s="1"/>
  <c r="J44" i="8" s="1"/>
  <c r="F45" i="8" s="1"/>
  <c r="G49" i="9" l="1"/>
  <c r="H49" i="9"/>
  <c r="I49" i="9"/>
  <c r="J49" i="9" s="1"/>
  <c r="F50" i="9" s="1"/>
  <c r="I45" i="8"/>
  <c r="J45" i="8" s="1"/>
  <c r="F46" i="8" s="1"/>
  <c r="H45" i="8"/>
  <c r="G45" i="8"/>
  <c r="H49" i="4"/>
  <c r="G49" i="4"/>
  <c r="I49" i="4" s="1"/>
  <c r="J49" i="4" s="1"/>
  <c r="F50" i="4" s="1"/>
  <c r="H50" i="4" l="1"/>
  <c r="G50" i="4"/>
  <c r="I50" i="4" s="1"/>
  <c r="J50" i="4" s="1"/>
  <c r="F51" i="4" s="1"/>
  <c r="H46" i="8"/>
  <c r="G46" i="8"/>
  <c r="I46" i="8" s="1"/>
  <c r="J46" i="8" s="1"/>
  <c r="F47" i="8" s="1"/>
  <c r="I50" i="9"/>
  <c r="J50" i="9" s="1"/>
  <c r="F51" i="9" s="1"/>
  <c r="H50" i="9"/>
  <c r="G50" i="9"/>
  <c r="H47" i="8" l="1"/>
  <c r="G47" i="8"/>
  <c r="I47" i="8" s="1"/>
  <c r="J47" i="8" s="1"/>
  <c r="F48" i="8" s="1"/>
  <c r="H51" i="9"/>
  <c r="M7" i="9" s="1"/>
  <c r="G51" i="9"/>
  <c r="I51" i="9" s="1"/>
  <c r="G51" i="4"/>
  <c r="H51" i="4"/>
  <c r="M7" i="4" s="1"/>
  <c r="H48" i="8" l="1"/>
  <c r="G48" i="8"/>
  <c r="I48" i="8"/>
  <c r="J48" i="8" s="1"/>
  <c r="F49" i="8" s="1"/>
  <c r="N7" i="9"/>
  <c r="J51" i="9"/>
  <c r="F52" i="9" s="1"/>
  <c r="I51" i="4"/>
  <c r="G49" i="8" l="1"/>
  <c r="H49" i="8"/>
  <c r="I49" i="8" s="1"/>
  <c r="J49" i="8" s="1"/>
  <c r="F50" i="8" s="1"/>
  <c r="G52" i="9"/>
  <c r="H52" i="9"/>
  <c r="N7" i="4"/>
  <c r="J51" i="4"/>
  <c r="F52" i="4" s="1"/>
  <c r="G50" i="8" l="1"/>
  <c r="I50" i="8" s="1"/>
  <c r="J50" i="8" s="1"/>
  <c r="F51" i="8" s="1"/>
  <c r="H50" i="8"/>
  <c r="H52" i="4"/>
  <c r="G52" i="4"/>
  <c r="I52" i="4" s="1"/>
  <c r="I52" i="9"/>
  <c r="J52" i="4" l="1"/>
  <c r="F53" i="4" s="1"/>
  <c r="H51" i="8"/>
  <c r="M7" i="8" s="1"/>
  <c r="G51" i="8"/>
  <c r="I51" i="8" s="1"/>
  <c r="J52" i="9"/>
  <c r="F53" i="9" s="1"/>
  <c r="N7" i="8" l="1"/>
  <c r="J51" i="8"/>
  <c r="F52" i="8" s="1"/>
  <c r="H53" i="9"/>
  <c r="G53" i="9"/>
  <c r="I53" i="9" s="1"/>
  <c r="I53" i="4"/>
  <c r="J53" i="4" s="1"/>
  <c r="F54" i="4" s="1"/>
  <c r="H53" i="4"/>
  <c r="G53" i="4"/>
  <c r="H54" i="4" l="1"/>
  <c r="G54" i="4"/>
  <c r="I54" i="4" s="1"/>
  <c r="J53" i="9"/>
  <c r="F54" i="9" s="1"/>
  <c r="I52" i="8"/>
  <c r="G52" i="8"/>
  <c r="H52" i="8"/>
  <c r="J54" i="4" l="1"/>
  <c r="F55" i="4" s="1"/>
  <c r="J52" i="8"/>
  <c r="F53" i="8" s="1"/>
  <c r="G54" i="9"/>
  <c r="I54" i="9"/>
  <c r="H54" i="9"/>
  <c r="H53" i="8" l="1"/>
  <c r="G53" i="8"/>
  <c r="J54" i="9"/>
  <c r="F55" i="9" s="1"/>
  <c r="H55" i="4"/>
  <c r="G55" i="4"/>
  <c r="I55" i="4" s="1"/>
  <c r="J55" i="4" l="1"/>
  <c r="F56" i="4" s="1"/>
  <c r="H55" i="9"/>
  <c r="G55" i="9"/>
  <c r="I55" i="9" s="1"/>
  <c r="I53" i="8"/>
  <c r="J55" i="9" l="1"/>
  <c r="F56" i="9" s="1"/>
  <c r="J53" i="8"/>
  <c r="F54" i="8" s="1"/>
  <c r="I56" i="4"/>
  <c r="J56" i="4" s="1"/>
  <c r="F57" i="4" s="1"/>
  <c r="H56" i="4"/>
  <c r="G56" i="4"/>
  <c r="H57" i="4" l="1"/>
  <c r="G57" i="4"/>
  <c r="I57" i="4" s="1"/>
  <c r="J57" i="4" s="1"/>
  <c r="F58" i="4" s="1"/>
  <c r="H54" i="8"/>
  <c r="G54" i="8"/>
  <c r="I54" i="8" s="1"/>
  <c r="I56" i="9"/>
  <c r="J56" i="9" s="1"/>
  <c r="F57" i="9" s="1"/>
  <c r="H56" i="9"/>
  <c r="G56" i="9"/>
  <c r="J54" i="8" l="1"/>
  <c r="F55" i="8" s="1"/>
  <c r="H57" i="9"/>
  <c r="G57" i="9"/>
  <c r="J57" i="9"/>
  <c r="F58" i="9" s="1"/>
  <c r="I57" i="9"/>
  <c r="H58" i="4"/>
  <c r="I58" i="4" s="1"/>
  <c r="J58" i="4" s="1"/>
  <c r="F59" i="4" s="1"/>
  <c r="G58" i="4"/>
  <c r="H59" i="4" l="1"/>
  <c r="G59" i="4"/>
  <c r="I59" i="4"/>
  <c r="J59" i="4" s="1"/>
  <c r="F60" i="4" s="1"/>
  <c r="H58" i="9"/>
  <c r="G58" i="9"/>
  <c r="I58" i="9" s="1"/>
  <c r="J58" i="9" s="1"/>
  <c r="F59" i="9" s="1"/>
  <c r="G55" i="8"/>
  <c r="H55" i="8"/>
  <c r="J55" i="8"/>
  <c r="F56" i="8" s="1"/>
  <c r="I55" i="8"/>
  <c r="H59" i="9" l="1"/>
  <c r="G59" i="9"/>
  <c r="I59" i="9" s="1"/>
  <c r="J59" i="9" s="1"/>
  <c r="F60" i="9" s="1"/>
  <c r="H56" i="8"/>
  <c r="I56" i="8"/>
  <c r="J56" i="8" s="1"/>
  <c r="F57" i="8" s="1"/>
  <c r="G56" i="8"/>
  <c r="H60" i="4"/>
  <c r="I60" i="4" s="1"/>
  <c r="J60" i="4" s="1"/>
  <c r="F61" i="4" s="1"/>
  <c r="G60" i="4"/>
  <c r="H61" i="4" l="1"/>
  <c r="G61" i="4"/>
  <c r="I61" i="4" s="1"/>
  <c r="J61" i="4" s="1"/>
  <c r="F62" i="4" s="1"/>
  <c r="H57" i="8"/>
  <c r="G57" i="8"/>
  <c r="I57" i="8" s="1"/>
  <c r="J57" i="8" s="1"/>
  <c r="F58" i="8" s="1"/>
  <c r="G60" i="9"/>
  <c r="I60" i="9" s="1"/>
  <c r="J60" i="9" s="1"/>
  <c r="F61" i="9" s="1"/>
  <c r="H60" i="9"/>
  <c r="H61" i="9" l="1"/>
  <c r="G61" i="9"/>
  <c r="I61" i="9"/>
  <c r="J61" i="9" s="1"/>
  <c r="F62" i="9" s="1"/>
  <c r="G58" i="8"/>
  <c r="I58" i="8" s="1"/>
  <c r="J58" i="8" s="1"/>
  <c r="F59" i="8" s="1"/>
  <c r="H58" i="8"/>
  <c r="G62" i="4"/>
  <c r="I62" i="4"/>
  <c r="J62" i="4" s="1"/>
  <c r="F63" i="4" s="1"/>
  <c r="H62" i="4"/>
  <c r="H63" i="4" l="1"/>
  <c r="M8" i="4" s="1"/>
  <c r="G63" i="4"/>
  <c r="I63" i="4" s="1"/>
  <c r="H59" i="8"/>
  <c r="I59" i="8"/>
  <c r="J59" i="8" s="1"/>
  <c r="F60" i="8" s="1"/>
  <c r="G59" i="8"/>
  <c r="H62" i="9"/>
  <c r="G62" i="9"/>
  <c r="I62" i="9" s="1"/>
  <c r="J62" i="9" s="1"/>
  <c r="F63" i="9" s="1"/>
  <c r="G60" i="8" l="1"/>
  <c r="I60" i="8" s="1"/>
  <c r="J60" i="8" s="1"/>
  <c r="F61" i="8" s="1"/>
  <c r="H60" i="8"/>
  <c r="G63" i="9"/>
  <c r="H63" i="9"/>
  <c r="M8" i="9" s="1"/>
  <c r="N8" i="4"/>
  <c r="J63" i="4"/>
  <c r="F64" i="4" s="1"/>
  <c r="H61" i="8" l="1"/>
  <c r="G61" i="8"/>
  <c r="I61" i="8" s="1"/>
  <c r="J61" i="8" s="1"/>
  <c r="F62" i="8" s="1"/>
  <c r="H64" i="4"/>
  <c r="I64" i="4"/>
  <c r="G64" i="4"/>
  <c r="I63" i="9"/>
  <c r="G62" i="8" l="1"/>
  <c r="I62" i="8" s="1"/>
  <c r="J62" i="8" s="1"/>
  <c r="F63" i="8" s="1"/>
  <c r="H62" i="8"/>
  <c r="J64" i="4"/>
  <c r="F65" i="4" s="1"/>
  <c r="N8" i="9"/>
  <c r="J63" i="9"/>
  <c r="F64" i="9" s="1"/>
  <c r="H63" i="8" l="1"/>
  <c r="M8" i="8" s="1"/>
  <c r="G63" i="8"/>
  <c r="I63" i="8" s="1"/>
  <c r="H65" i="4"/>
  <c r="G65" i="4"/>
  <c r="I65" i="4" s="1"/>
  <c r="H64" i="9"/>
  <c r="G64" i="9"/>
  <c r="I64" i="9" s="1"/>
  <c r="J65" i="4" l="1"/>
  <c r="F66" i="4" s="1"/>
  <c r="J64" i="9"/>
  <c r="F65" i="9" s="1"/>
  <c r="N8" i="8"/>
  <c r="J63" i="8"/>
  <c r="F64" i="8" s="1"/>
  <c r="H66" i="4" l="1"/>
  <c r="G66" i="4"/>
  <c r="G64" i="8"/>
  <c r="H64" i="8"/>
  <c r="H65" i="9"/>
  <c r="G65" i="9"/>
  <c r="I65" i="9"/>
  <c r="J65" i="9" l="1"/>
  <c r="F66" i="9" s="1"/>
  <c r="I64" i="8"/>
  <c r="I66" i="4"/>
  <c r="J64" i="8" l="1"/>
  <c r="F65" i="8" s="1"/>
  <c r="J66" i="4"/>
  <c r="F67" i="4" s="1"/>
  <c r="G66" i="9"/>
  <c r="H66" i="9"/>
  <c r="I66" i="9" l="1"/>
  <c r="H67" i="4"/>
  <c r="G67" i="4"/>
  <c r="I67" i="4" s="1"/>
  <c r="G65" i="8"/>
  <c r="I65" i="8" s="1"/>
  <c r="H65" i="8"/>
  <c r="J65" i="8" l="1"/>
  <c r="F66" i="8" s="1"/>
  <c r="J67" i="4"/>
  <c r="F68" i="4" s="1"/>
  <c r="J66" i="9"/>
  <c r="F67" i="9" s="1"/>
  <c r="H67" i="9" l="1"/>
  <c r="G67" i="9"/>
  <c r="I67" i="9" s="1"/>
  <c r="G66" i="8"/>
  <c r="H66" i="8"/>
  <c r="I68" i="4"/>
  <c r="J68" i="4" s="1"/>
  <c r="F69" i="4" s="1"/>
  <c r="H68" i="4"/>
  <c r="G68" i="4"/>
  <c r="G69" i="4" l="1"/>
  <c r="H69" i="4"/>
  <c r="I69" i="4" s="1"/>
  <c r="J69" i="4" s="1"/>
  <c r="F70" i="4" s="1"/>
  <c r="J67" i="9"/>
  <c r="F68" i="9" s="1"/>
  <c r="I66" i="8"/>
  <c r="H70" i="4" l="1"/>
  <c r="G70" i="4"/>
  <c r="I70" i="4" s="1"/>
  <c r="J70" i="4" s="1"/>
  <c r="F71" i="4" s="1"/>
  <c r="H68" i="9"/>
  <c r="G68" i="9"/>
  <c r="I68" i="9" s="1"/>
  <c r="J68" i="9" s="1"/>
  <c r="F69" i="9" s="1"/>
  <c r="J66" i="8"/>
  <c r="F67" i="8" s="1"/>
  <c r="H69" i="9" l="1"/>
  <c r="G69" i="9"/>
  <c r="I69" i="9" s="1"/>
  <c r="J69" i="9" s="1"/>
  <c r="F70" i="9" s="1"/>
  <c r="H71" i="4"/>
  <c r="G71" i="4"/>
  <c r="I71" i="4" s="1"/>
  <c r="J71" i="4" s="1"/>
  <c r="F72" i="4" s="1"/>
  <c r="G67" i="8"/>
  <c r="H67" i="8"/>
  <c r="I67" i="8" s="1"/>
  <c r="G72" i="4" l="1"/>
  <c r="I72" i="4" s="1"/>
  <c r="J72" i="4" s="1"/>
  <c r="F73" i="4" s="1"/>
  <c r="H72" i="4"/>
  <c r="J67" i="8"/>
  <c r="F68" i="8" s="1"/>
  <c r="G70" i="9"/>
  <c r="I70" i="9" s="1"/>
  <c r="J70" i="9" s="1"/>
  <c r="F71" i="9" s="1"/>
  <c r="H70" i="9"/>
  <c r="H71" i="9" l="1"/>
  <c r="G71" i="9"/>
  <c r="I71" i="9" s="1"/>
  <c r="J71" i="9" s="1"/>
  <c r="F72" i="9" s="1"/>
  <c r="G73" i="4"/>
  <c r="H73" i="4"/>
  <c r="I73" i="4" s="1"/>
  <c r="J73" i="4" s="1"/>
  <c r="F74" i="4" s="1"/>
  <c r="H68" i="8"/>
  <c r="G68" i="8"/>
  <c r="I68" i="8"/>
  <c r="J68" i="8" s="1"/>
  <c r="F69" i="8" s="1"/>
  <c r="H69" i="8" l="1"/>
  <c r="G69" i="8"/>
  <c r="I69" i="8" s="1"/>
  <c r="J69" i="8" s="1"/>
  <c r="F70" i="8" s="1"/>
  <c r="H72" i="9"/>
  <c r="G72" i="9"/>
  <c r="I72" i="9" s="1"/>
  <c r="J72" i="9" s="1"/>
  <c r="F73" i="9" s="1"/>
  <c r="H74" i="4"/>
  <c r="G74" i="4"/>
  <c r="I74" i="4"/>
  <c r="J74" i="4" s="1"/>
  <c r="F75" i="4" s="1"/>
  <c r="H73" i="9" l="1"/>
  <c r="G73" i="9"/>
  <c r="I73" i="9" s="1"/>
  <c r="J73" i="9" s="1"/>
  <c r="F74" i="9" s="1"/>
  <c r="H75" i="4"/>
  <c r="M9" i="4" s="1"/>
  <c r="G75" i="4"/>
  <c r="I75" i="4"/>
  <c r="N9" i="4" s="1"/>
  <c r="H70" i="8"/>
  <c r="G70" i="8"/>
  <c r="I70" i="8" s="1"/>
  <c r="J70" i="8" s="1"/>
  <c r="F71" i="8" s="1"/>
  <c r="H71" i="8" l="1"/>
  <c r="G71" i="8"/>
  <c r="I71" i="8" s="1"/>
  <c r="J71" i="8" s="1"/>
  <c r="F72" i="8" s="1"/>
  <c r="H74" i="9"/>
  <c r="G74" i="9"/>
  <c r="I74" i="9" s="1"/>
  <c r="J74" i="9" s="1"/>
  <c r="F75" i="9" s="1"/>
  <c r="J75" i="4"/>
  <c r="F76" i="4" s="1"/>
  <c r="G75" i="9" l="1"/>
  <c r="H75" i="9"/>
  <c r="M9" i="9" s="1"/>
  <c r="I75" i="9"/>
  <c r="N9" i="9" s="1"/>
  <c r="G72" i="8"/>
  <c r="I72" i="8"/>
  <c r="J72" i="8" s="1"/>
  <c r="F73" i="8" s="1"/>
  <c r="H72" i="8"/>
  <c r="H76" i="4"/>
  <c r="J76" i="4"/>
  <c r="F77" i="4" s="1"/>
  <c r="G76" i="4"/>
  <c r="I76" i="4"/>
  <c r="H77" i="4" l="1"/>
  <c r="G77" i="4"/>
  <c r="I77" i="4" s="1"/>
  <c r="H73" i="8"/>
  <c r="G73" i="8"/>
  <c r="I73" i="8" s="1"/>
  <c r="J73" i="8" s="1"/>
  <c r="F74" i="8" s="1"/>
  <c r="J75" i="9"/>
  <c r="F76" i="9" s="1"/>
  <c r="H74" i="8" l="1"/>
  <c r="G74" i="8"/>
  <c r="I74" i="8"/>
  <c r="J74" i="8"/>
  <c r="F75" i="8" s="1"/>
  <c r="J77" i="4"/>
  <c r="F78" i="4" s="1"/>
  <c r="H76" i="9"/>
  <c r="G76" i="9"/>
  <c r="I76" i="9" s="1"/>
  <c r="H75" i="8" l="1"/>
  <c r="M9" i="8" s="1"/>
  <c r="G75" i="8"/>
  <c r="I75" i="8" s="1"/>
  <c r="J76" i="9"/>
  <c r="F77" i="9" s="1"/>
  <c r="H78" i="4"/>
  <c r="G78" i="4"/>
  <c r="N9" i="8" l="1"/>
  <c r="J75" i="8"/>
  <c r="F76" i="8" s="1"/>
  <c r="I78" i="4"/>
  <c r="G77" i="9"/>
  <c r="H77" i="9"/>
  <c r="H76" i="8" l="1"/>
  <c r="G76" i="8"/>
  <c r="I76" i="8" s="1"/>
  <c r="I77" i="9"/>
  <c r="J78" i="4"/>
  <c r="F79" i="4" s="1"/>
  <c r="J76" i="8" l="1"/>
  <c r="F77" i="8" s="1"/>
  <c r="G79" i="4"/>
  <c r="I79" i="4" s="1"/>
  <c r="H79" i="4"/>
  <c r="J77" i="9"/>
  <c r="F78" i="9" s="1"/>
  <c r="J79" i="4" l="1"/>
  <c r="F80" i="4" s="1"/>
  <c r="H78" i="9"/>
  <c r="G78" i="9"/>
  <c r="I78" i="9" s="1"/>
  <c r="H77" i="8"/>
  <c r="G77" i="8"/>
  <c r="J77" i="8"/>
  <c r="F78" i="8" s="1"/>
  <c r="I77" i="8"/>
  <c r="H78" i="8" l="1"/>
  <c r="G78" i="8"/>
  <c r="I78" i="8" s="1"/>
  <c r="J78" i="9"/>
  <c r="F79" i="9" s="1"/>
  <c r="G80" i="4"/>
  <c r="I80" i="4" s="1"/>
  <c r="J80" i="4" s="1"/>
  <c r="F81" i="4" s="1"/>
  <c r="H80" i="4"/>
  <c r="H81" i="4" l="1"/>
  <c r="G81" i="4"/>
  <c r="I81" i="4" s="1"/>
  <c r="J81" i="4" s="1"/>
  <c r="F82" i="4" s="1"/>
  <c r="J78" i="8"/>
  <c r="F79" i="8" s="1"/>
  <c r="G79" i="9"/>
  <c r="I79" i="9"/>
  <c r="H79" i="9"/>
  <c r="G82" i="4" l="1"/>
  <c r="I82" i="4" s="1"/>
  <c r="J82" i="4" s="1"/>
  <c r="F83" i="4" s="1"/>
  <c r="H82" i="4"/>
  <c r="J79" i="9"/>
  <c r="F80" i="9" s="1"/>
  <c r="H79" i="8"/>
  <c r="G79" i="8"/>
  <c r="I79" i="8" s="1"/>
  <c r="J79" i="8" l="1"/>
  <c r="F80" i="8" s="1"/>
  <c r="H83" i="4"/>
  <c r="G83" i="4"/>
  <c r="I83" i="4" s="1"/>
  <c r="J83" i="4" s="1"/>
  <c r="F84" i="4" s="1"/>
  <c r="G80" i="9"/>
  <c r="H80" i="9"/>
  <c r="I80" i="9"/>
  <c r="J80" i="9" s="1"/>
  <c r="F81" i="9" s="1"/>
  <c r="H81" i="9" l="1"/>
  <c r="G81" i="9"/>
  <c r="I81" i="9" s="1"/>
  <c r="J81" i="9" s="1"/>
  <c r="F82" i="9" s="1"/>
  <c r="H84" i="4"/>
  <c r="G84" i="4"/>
  <c r="I84" i="4" s="1"/>
  <c r="J84" i="4" s="1"/>
  <c r="F85" i="4" s="1"/>
  <c r="H80" i="8"/>
  <c r="G80" i="8"/>
  <c r="I80" i="8" s="1"/>
  <c r="J80" i="8" s="1"/>
  <c r="F81" i="8" s="1"/>
  <c r="H81" i="8" l="1"/>
  <c r="G81" i="8"/>
  <c r="I81" i="8" s="1"/>
  <c r="J81" i="8" s="1"/>
  <c r="F82" i="8" s="1"/>
  <c r="H85" i="4"/>
  <c r="G85" i="4"/>
  <c r="I85" i="4" s="1"/>
  <c r="J85" i="4" s="1"/>
  <c r="F86" i="4" s="1"/>
  <c r="G82" i="9"/>
  <c r="H82" i="9"/>
  <c r="I82" i="9" s="1"/>
  <c r="J82" i="9" s="1"/>
  <c r="F83" i="9" s="1"/>
  <c r="H86" i="4" l="1"/>
  <c r="G86" i="4"/>
  <c r="I86" i="4" s="1"/>
  <c r="J86" i="4" s="1"/>
  <c r="F87" i="4" s="1"/>
  <c r="H83" i="9"/>
  <c r="G83" i="9"/>
  <c r="I83" i="9" s="1"/>
  <c r="J83" i="9" s="1"/>
  <c r="F84" i="9" s="1"/>
  <c r="H82" i="8"/>
  <c r="G82" i="8"/>
  <c r="I82" i="8" s="1"/>
  <c r="J82" i="8" s="1"/>
  <c r="F83" i="8" s="1"/>
  <c r="G83" i="8" l="1"/>
  <c r="I83" i="8" s="1"/>
  <c r="J83" i="8" s="1"/>
  <c r="F84" i="8" s="1"/>
  <c r="H83" i="8"/>
  <c r="I84" i="9"/>
  <c r="J84" i="9" s="1"/>
  <c r="F85" i="9" s="1"/>
  <c r="H84" i="9"/>
  <c r="G84" i="9"/>
  <c r="H87" i="4"/>
  <c r="M10" i="4" s="1"/>
  <c r="I87" i="4"/>
  <c r="N10" i="4" s="1"/>
  <c r="G87" i="4"/>
  <c r="H85" i="9" l="1"/>
  <c r="G85" i="9"/>
  <c r="I85" i="9" s="1"/>
  <c r="J85" i="9" s="1"/>
  <c r="F86" i="9" s="1"/>
  <c r="I84" i="8"/>
  <c r="J84" i="8" s="1"/>
  <c r="F85" i="8" s="1"/>
  <c r="H84" i="8"/>
  <c r="G84" i="8"/>
  <c r="J87" i="4"/>
  <c r="F88" i="4" s="1"/>
  <c r="H86" i="9" l="1"/>
  <c r="G86" i="9"/>
  <c r="I86" i="9" s="1"/>
  <c r="J86" i="9" s="1"/>
  <c r="F87" i="9" s="1"/>
  <c r="G85" i="8"/>
  <c r="I85" i="8" s="1"/>
  <c r="J85" i="8" s="1"/>
  <c r="F86" i="8" s="1"/>
  <c r="H85" i="8"/>
  <c r="G88" i="4"/>
  <c r="H88" i="4"/>
  <c r="H86" i="8" l="1"/>
  <c r="G86" i="8"/>
  <c r="I86" i="8" s="1"/>
  <c r="J86" i="8" s="1"/>
  <c r="F87" i="8" s="1"/>
  <c r="H87" i="9"/>
  <c r="M10" i="9" s="1"/>
  <c r="G87" i="9"/>
  <c r="I87" i="9"/>
  <c r="N10" i="9" s="1"/>
  <c r="I88" i="4"/>
  <c r="H87" i="8" l="1"/>
  <c r="M10" i="8" s="1"/>
  <c r="G87" i="8"/>
  <c r="I87" i="8" s="1"/>
  <c r="J88" i="4"/>
  <c r="F89" i="4" s="1"/>
  <c r="J87" i="9"/>
  <c r="F88" i="9" s="1"/>
  <c r="N10" i="8" l="1"/>
  <c r="J87" i="8"/>
  <c r="F88" i="8" s="1"/>
  <c r="H88" i="9"/>
  <c r="G88" i="9"/>
  <c r="I88" i="9" s="1"/>
  <c r="G89" i="4"/>
  <c r="H89" i="4"/>
  <c r="I89" i="4"/>
  <c r="J88" i="9" l="1"/>
  <c r="F89" i="9" s="1"/>
  <c r="H88" i="8"/>
  <c r="G88" i="8"/>
  <c r="I88" i="8" s="1"/>
  <c r="J89" i="4"/>
  <c r="F90" i="4" s="1"/>
  <c r="J88" i="8" l="1"/>
  <c r="F89" i="8" s="1"/>
  <c r="H90" i="4"/>
  <c r="G90" i="4"/>
  <c r="H89" i="9"/>
  <c r="G89" i="9"/>
  <c r="I89" i="9" s="1"/>
  <c r="J89" i="9" l="1"/>
  <c r="F90" i="9" s="1"/>
  <c r="I90" i="4"/>
  <c r="G89" i="8"/>
  <c r="I89" i="8" s="1"/>
  <c r="H89" i="8"/>
  <c r="J89" i="8" l="1"/>
  <c r="F90" i="8" s="1"/>
  <c r="J90" i="4"/>
  <c r="F91" i="4" s="1"/>
  <c r="H90" i="9"/>
  <c r="G90" i="9"/>
  <c r="I90" i="9" s="1"/>
  <c r="J90" i="9" l="1"/>
  <c r="F91" i="9" s="1"/>
  <c r="G91" i="4"/>
  <c r="H91" i="4"/>
  <c r="I91" i="4"/>
  <c r="H90" i="8"/>
  <c r="G90" i="8"/>
  <c r="I90" i="8" s="1"/>
  <c r="J90" i="8" l="1"/>
  <c r="F91" i="8" s="1"/>
  <c r="J91" i="4"/>
  <c r="F92" i="4" s="1"/>
  <c r="G91" i="9"/>
  <c r="I91" i="9" s="1"/>
  <c r="H91" i="9"/>
  <c r="J91" i="9" l="1"/>
  <c r="F92" i="9" s="1"/>
  <c r="H92" i="4"/>
  <c r="G92" i="4"/>
  <c r="I92" i="4" s="1"/>
  <c r="J92" i="4" s="1"/>
  <c r="F93" i="4" s="1"/>
  <c r="H91" i="8"/>
  <c r="G91" i="8"/>
  <c r="I91" i="8" s="1"/>
  <c r="J91" i="8" l="1"/>
  <c r="F92" i="8" s="1"/>
  <c r="H93" i="4"/>
  <c r="G93" i="4"/>
  <c r="I93" i="4" s="1"/>
  <c r="J93" i="4" s="1"/>
  <c r="F94" i="4" s="1"/>
  <c r="H92" i="9"/>
  <c r="G92" i="9"/>
  <c r="I92" i="9" s="1"/>
  <c r="J92" i="9" l="1"/>
  <c r="F93" i="9" s="1"/>
  <c r="H94" i="4"/>
  <c r="G94" i="4"/>
  <c r="I94" i="4" s="1"/>
  <c r="J94" i="4" s="1"/>
  <c r="F95" i="4" s="1"/>
  <c r="H92" i="8"/>
  <c r="G92" i="8"/>
  <c r="I92" i="8"/>
  <c r="J92" i="8" s="1"/>
  <c r="F93" i="8" s="1"/>
  <c r="H93" i="8" l="1"/>
  <c r="G93" i="8"/>
  <c r="I93" i="8" s="1"/>
  <c r="J93" i="8" s="1"/>
  <c r="F94" i="8" s="1"/>
  <c r="G95" i="4"/>
  <c r="I95" i="4"/>
  <c r="J95" i="4" s="1"/>
  <c r="F96" i="4" s="1"/>
  <c r="H95" i="4"/>
  <c r="G93" i="9"/>
  <c r="I93" i="9" s="1"/>
  <c r="J93" i="9" s="1"/>
  <c r="F94" i="9" s="1"/>
  <c r="H93" i="9"/>
  <c r="H94" i="9" l="1"/>
  <c r="G94" i="9"/>
  <c r="I94" i="9" s="1"/>
  <c r="J94" i="9" s="1"/>
  <c r="F95" i="9" s="1"/>
  <c r="H96" i="4"/>
  <c r="G96" i="4"/>
  <c r="I96" i="4" s="1"/>
  <c r="J96" i="4" s="1"/>
  <c r="F97" i="4" s="1"/>
  <c r="H94" i="8"/>
  <c r="G94" i="8"/>
  <c r="I94" i="8" s="1"/>
  <c r="J94" i="8" s="1"/>
  <c r="F95" i="8" s="1"/>
  <c r="H97" i="4" l="1"/>
  <c r="G97" i="4"/>
  <c r="I97" i="4" s="1"/>
  <c r="J97" i="4" s="1"/>
  <c r="F98" i="4" s="1"/>
  <c r="G95" i="8"/>
  <c r="H95" i="8"/>
  <c r="I95" i="8" s="1"/>
  <c r="J95" i="8" s="1"/>
  <c r="F96" i="8" s="1"/>
  <c r="G95" i="9"/>
  <c r="H95" i="9"/>
  <c r="I95" i="9" s="1"/>
  <c r="J95" i="9" s="1"/>
  <c r="F96" i="9" s="1"/>
  <c r="H98" i="4" l="1"/>
  <c r="G98" i="4"/>
  <c r="I98" i="4" s="1"/>
  <c r="J98" i="4" s="1"/>
  <c r="F99" i="4" s="1"/>
  <c r="H96" i="9"/>
  <c r="I96" i="9" s="1"/>
  <c r="J96" i="9" s="1"/>
  <c r="F97" i="9" s="1"/>
  <c r="G96" i="9"/>
  <c r="H96" i="8"/>
  <c r="G96" i="8"/>
  <c r="I96" i="8" s="1"/>
  <c r="J96" i="8" s="1"/>
  <c r="F97" i="8" s="1"/>
  <c r="H97" i="9" l="1"/>
  <c r="G97" i="9"/>
  <c r="I97" i="9" s="1"/>
  <c r="J97" i="9" s="1"/>
  <c r="F98" i="9" s="1"/>
  <c r="J97" i="8"/>
  <c r="F98" i="8" s="1"/>
  <c r="G97" i="8"/>
  <c r="H97" i="8"/>
  <c r="I97" i="8"/>
  <c r="G99" i="4"/>
  <c r="H99" i="4"/>
  <c r="M11" i="4" s="1"/>
  <c r="G98" i="8" l="1"/>
  <c r="I98" i="8" s="1"/>
  <c r="J98" i="8" s="1"/>
  <c r="F99" i="8" s="1"/>
  <c r="H98" i="8"/>
  <c r="H98" i="9"/>
  <c r="G98" i="9"/>
  <c r="I98" i="9" s="1"/>
  <c r="J98" i="9" s="1"/>
  <c r="F99" i="9" s="1"/>
  <c r="I99" i="4"/>
  <c r="H99" i="9" l="1"/>
  <c r="M11" i="9" s="1"/>
  <c r="G99" i="9"/>
  <c r="I99" i="9" s="1"/>
  <c r="H99" i="8"/>
  <c r="M11" i="8" s="1"/>
  <c r="G99" i="8"/>
  <c r="I99" i="8"/>
  <c r="N11" i="8" s="1"/>
  <c r="N11" i="4"/>
  <c r="J99" i="4"/>
  <c r="F100" i="4" s="1"/>
  <c r="N11" i="9" l="1"/>
  <c r="J99" i="9"/>
  <c r="F100" i="9" s="1"/>
  <c r="H100" i="4"/>
  <c r="G100" i="4"/>
  <c r="I100" i="4" s="1"/>
  <c r="J99" i="8"/>
  <c r="F100" i="8" s="1"/>
  <c r="J100" i="4" l="1"/>
  <c r="F101" i="4" s="1"/>
  <c r="G100" i="8"/>
  <c r="H100" i="8"/>
  <c r="H100" i="9"/>
  <c r="G100" i="9"/>
  <c r="I100" i="9" s="1"/>
  <c r="J100" i="9" l="1"/>
  <c r="F101" i="9" s="1"/>
  <c r="I100" i="8"/>
  <c r="H101" i="4"/>
  <c r="G101" i="4"/>
  <c r="I101" i="4" s="1"/>
  <c r="J101" i="4" l="1"/>
  <c r="F102" i="4" s="1"/>
  <c r="J100" i="8"/>
  <c r="F101" i="8" s="1"/>
  <c r="H101" i="9"/>
  <c r="G101" i="9"/>
  <c r="I101" i="9" s="1"/>
  <c r="J101" i="9" l="1"/>
  <c r="F102" i="9" s="1"/>
  <c r="G101" i="8"/>
  <c r="H101" i="8"/>
  <c r="H102" i="4"/>
  <c r="G102" i="4"/>
  <c r="I102" i="4"/>
  <c r="I101" i="8" l="1"/>
  <c r="J102" i="4"/>
  <c r="F103" i="4" s="1"/>
  <c r="H102" i="9"/>
  <c r="G102" i="9"/>
  <c r="I102" i="9" l="1"/>
  <c r="H103" i="4"/>
  <c r="I103" i="4" s="1"/>
  <c r="G103" i="4"/>
  <c r="J101" i="8"/>
  <c r="F102" i="8" s="1"/>
  <c r="J103" i="4" l="1"/>
  <c r="F104" i="4" s="1"/>
  <c r="J102" i="9"/>
  <c r="F103" i="9" s="1"/>
  <c r="H102" i="8"/>
  <c r="G102" i="8"/>
  <c r="I102" i="8" s="1"/>
  <c r="J102" i="8" l="1"/>
  <c r="F103" i="8" s="1"/>
  <c r="H104" i="4"/>
  <c r="G104" i="4"/>
  <c r="I104" i="4" s="1"/>
  <c r="J104" i="4" s="1"/>
  <c r="F105" i="4" s="1"/>
  <c r="H103" i="9"/>
  <c r="G103" i="9"/>
  <c r="I103" i="9" s="1"/>
  <c r="J103" i="9" l="1"/>
  <c r="F104" i="9" s="1"/>
  <c r="G105" i="4"/>
  <c r="I105" i="4"/>
  <c r="J105" i="4" s="1"/>
  <c r="F106" i="4" s="1"/>
  <c r="H105" i="4"/>
  <c r="I103" i="8"/>
  <c r="H103" i="8"/>
  <c r="G103" i="8"/>
  <c r="H106" i="4" l="1"/>
  <c r="G106" i="4"/>
  <c r="I106" i="4" s="1"/>
  <c r="J106" i="4" s="1"/>
  <c r="F107" i="4" s="1"/>
  <c r="J103" i="8"/>
  <c r="F104" i="8" s="1"/>
  <c r="H104" i="9"/>
  <c r="I104" i="9"/>
  <c r="G104" i="9"/>
  <c r="H107" i="4" l="1"/>
  <c r="G107" i="4"/>
  <c r="I107" i="4"/>
  <c r="J107" i="4" s="1"/>
  <c r="F108" i="4" s="1"/>
  <c r="G104" i="8"/>
  <c r="H104" i="8"/>
  <c r="I104" i="8" s="1"/>
  <c r="J104" i="8" s="1"/>
  <c r="F105" i="8" s="1"/>
  <c r="J104" i="9"/>
  <c r="F105" i="9" s="1"/>
  <c r="H105" i="8" l="1"/>
  <c r="G105" i="8"/>
  <c r="I105" i="8" s="1"/>
  <c r="J105" i="8" s="1"/>
  <c r="F106" i="8" s="1"/>
  <c r="G108" i="4"/>
  <c r="H108" i="4"/>
  <c r="I108" i="4"/>
  <c r="J108" i="4" s="1"/>
  <c r="F109" i="4" s="1"/>
  <c r="I105" i="9"/>
  <c r="J105" i="9" s="1"/>
  <c r="F106" i="9" s="1"/>
  <c r="G105" i="9"/>
  <c r="H105" i="9"/>
  <c r="H106" i="9" l="1"/>
  <c r="I106" i="9"/>
  <c r="J106" i="9" s="1"/>
  <c r="F107" i="9" s="1"/>
  <c r="G106" i="9"/>
  <c r="I109" i="4"/>
  <c r="J109" i="4" s="1"/>
  <c r="F110" i="4" s="1"/>
  <c r="H109" i="4"/>
  <c r="G109" i="4"/>
  <c r="G106" i="8"/>
  <c r="H106" i="8"/>
  <c r="I106" i="8" s="1"/>
  <c r="J106" i="8" s="1"/>
  <c r="F107" i="8" s="1"/>
  <c r="H107" i="8" l="1"/>
  <c r="G107" i="8"/>
  <c r="I107" i="8" s="1"/>
  <c r="J107" i="8" s="1"/>
  <c r="F108" i="8" s="1"/>
  <c r="H110" i="4"/>
  <c r="G110" i="4"/>
  <c r="I110" i="4" s="1"/>
  <c r="J110" i="4" s="1"/>
  <c r="F111" i="4" s="1"/>
  <c r="H107" i="9"/>
  <c r="G107" i="9"/>
  <c r="I107" i="9" s="1"/>
  <c r="J107" i="9" s="1"/>
  <c r="F108" i="9" s="1"/>
  <c r="H108" i="9" l="1"/>
  <c r="G108" i="9"/>
  <c r="I108" i="9"/>
  <c r="J108" i="9" s="1"/>
  <c r="F109" i="9" s="1"/>
  <c r="G111" i="4"/>
  <c r="I111" i="4" s="1"/>
  <c r="H111" i="4"/>
  <c r="M12" i="4" s="1"/>
  <c r="H108" i="8"/>
  <c r="I108" i="8" s="1"/>
  <c r="J108" i="8" s="1"/>
  <c r="F109" i="8" s="1"/>
  <c r="G108" i="8"/>
  <c r="H109" i="8" l="1"/>
  <c r="G109" i="8"/>
  <c r="I109" i="8" s="1"/>
  <c r="J109" i="8" s="1"/>
  <c r="F110" i="8" s="1"/>
  <c r="N12" i="4"/>
  <c r="J111" i="4"/>
  <c r="F112" i="4" s="1"/>
  <c r="H109" i="9"/>
  <c r="G109" i="9"/>
  <c r="I109" i="9" s="1"/>
  <c r="J109" i="9" s="1"/>
  <c r="F110" i="9" s="1"/>
  <c r="H110" i="9" l="1"/>
  <c r="G110" i="9"/>
  <c r="I110" i="9" s="1"/>
  <c r="J110" i="9" s="1"/>
  <c r="F111" i="9" s="1"/>
  <c r="H110" i="8"/>
  <c r="G110" i="8"/>
  <c r="I110" i="8" s="1"/>
  <c r="J110" i="8" s="1"/>
  <c r="F111" i="8" s="1"/>
  <c r="G112" i="4"/>
  <c r="I112" i="4" s="1"/>
  <c r="H112" i="4"/>
  <c r="H111" i="8" l="1"/>
  <c r="M12" i="8" s="1"/>
  <c r="G111" i="8"/>
  <c r="I111" i="8" s="1"/>
  <c r="J112" i="4"/>
  <c r="F113" i="4" s="1"/>
  <c r="H111" i="9"/>
  <c r="M12" i="9" s="1"/>
  <c r="G111" i="9"/>
  <c r="I111" i="9" s="1"/>
  <c r="N12" i="9" l="1"/>
  <c r="J111" i="9"/>
  <c r="F112" i="9" s="1"/>
  <c r="N12" i="8"/>
  <c r="J111" i="8"/>
  <c r="F112" i="8" s="1"/>
  <c r="H113" i="4"/>
  <c r="G113" i="4"/>
  <c r="I113" i="4" s="1"/>
  <c r="J113" i="4" l="1"/>
  <c r="F114" i="4" s="1"/>
  <c r="G112" i="9"/>
  <c r="H112" i="9"/>
  <c r="I112" i="9"/>
  <c r="G112" i="8"/>
  <c r="H112" i="8"/>
  <c r="I112" i="8" s="1"/>
  <c r="J112" i="8" l="1"/>
  <c r="F113" i="8" s="1"/>
  <c r="G114" i="4"/>
  <c r="H114" i="4"/>
  <c r="J112" i="9"/>
  <c r="F113" i="9" s="1"/>
  <c r="H113" i="9" l="1"/>
  <c r="G113" i="9"/>
  <c r="I113" i="9" s="1"/>
  <c r="H113" i="8"/>
  <c r="G113" i="8"/>
  <c r="I113" i="8" s="1"/>
  <c r="I114" i="4"/>
  <c r="J113" i="8" l="1"/>
  <c r="F114" i="8" s="1"/>
  <c r="J113" i="9"/>
  <c r="F114" i="9" s="1"/>
  <c r="J114" i="4"/>
  <c r="F115" i="4" s="1"/>
  <c r="H115" i="4" l="1"/>
  <c r="G115" i="4"/>
  <c r="I115" i="4" s="1"/>
  <c r="I114" i="8"/>
  <c r="G114" i="8"/>
  <c r="H114" i="8"/>
  <c r="H114" i="9"/>
  <c r="G114" i="9"/>
  <c r="I114" i="9" s="1"/>
  <c r="J114" i="9" l="1"/>
  <c r="F115" i="9" s="1"/>
  <c r="J115" i="4"/>
  <c r="F116" i="4" s="1"/>
  <c r="J114" i="8"/>
  <c r="F115" i="8" s="1"/>
  <c r="H115" i="8" l="1"/>
  <c r="G115" i="8"/>
  <c r="I115" i="8" s="1"/>
  <c r="I115" i="9"/>
  <c r="H115" i="9"/>
  <c r="G115" i="9"/>
  <c r="G116" i="4"/>
  <c r="H116" i="4"/>
  <c r="I116" i="4" s="1"/>
  <c r="J116" i="4" l="1"/>
  <c r="F117" i="4" s="1"/>
  <c r="J115" i="8"/>
  <c r="F116" i="8" s="1"/>
  <c r="J115" i="9"/>
  <c r="F116" i="9" s="1"/>
  <c r="G116" i="9" l="1"/>
  <c r="J116" i="9"/>
  <c r="F117" i="9" s="1"/>
  <c r="H116" i="9"/>
  <c r="I116" i="9"/>
  <c r="G116" i="8"/>
  <c r="I116" i="8" s="1"/>
  <c r="J116" i="8" s="1"/>
  <c r="F117" i="8" s="1"/>
  <c r="H116" i="8"/>
  <c r="H117" i="4"/>
  <c r="G117" i="4"/>
  <c r="I117" i="4" s="1"/>
  <c r="J117" i="4" s="1"/>
  <c r="F118" i="4" s="1"/>
  <c r="H118" i="4" l="1"/>
  <c r="G118" i="4"/>
  <c r="I118" i="4" s="1"/>
  <c r="J118" i="4" s="1"/>
  <c r="F119" i="4" s="1"/>
  <c r="G117" i="8"/>
  <c r="I117" i="8" s="1"/>
  <c r="J117" i="8" s="1"/>
  <c r="F118" i="8" s="1"/>
  <c r="H117" i="8"/>
  <c r="G117" i="9"/>
  <c r="H117" i="9"/>
  <c r="I117" i="9" s="1"/>
  <c r="J117" i="9" s="1"/>
  <c r="F118" i="9" s="1"/>
  <c r="H118" i="8" l="1"/>
  <c r="G118" i="8"/>
  <c r="I118" i="8" s="1"/>
  <c r="J118" i="8" s="1"/>
  <c r="F119" i="8" s="1"/>
  <c r="H118" i="9"/>
  <c r="G118" i="9"/>
  <c r="I118" i="9" s="1"/>
  <c r="J118" i="9" s="1"/>
  <c r="F119" i="9" s="1"/>
  <c r="G119" i="4"/>
  <c r="H119" i="4"/>
  <c r="I119" i="4" s="1"/>
  <c r="J119" i="4" s="1"/>
  <c r="F120" i="4" s="1"/>
  <c r="H119" i="9" l="1"/>
  <c r="G119" i="9"/>
  <c r="I119" i="9" s="1"/>
  <c r="J119" i="9" s="1"/>
  <c r="F120" i="9" s="1"/>
  <c r="H120" i="4"/>
  <c r="G120" i="4"/>
  <c r="I120" i="4" s="1"/>
  <c r="J120" i="4" s="1"/>
  <c r="F121" i="4" s="1"/>
  <c r="H119" i="8"/>
  <c r="I119" i="8"/>
  <c r="J119" i="8" s="1"/>
  <c r="F120" i="8" s="1"/>
  <c r="G119" i="8"/>
  <c r="H121" i="4" l="1"/>
  <c r="G121" i="4"/>
  <c r="I121" i="4" s="1"/>
  <c r="J121" i="4" s="1"/>
  <c r="F122" i="4" s="1"/>
  <c r="H120" i="8"/>
  <c r="G120" i="8"/>
  <c r="I120" i="8" s="1"/>
  <c r="J120" i="8" s="1"/>
  <c r="F121" i="8" s="1"/>
  <c r="H120" i="9"/>
  <c r="G120" i="9"/>
  <c r="I120" i="9" s="1"/>
  <c r="J120" i="9" s="1"/>
  <c r="F121" i="9" s="1"/>
  <c r="H121" i="8" l="1"/>
  <c r="G121" i="8"/>
  <c r="I121" i="8" s="1"/>
  <c r="J121" i="8" s="1"/>
  <c r="F122" i="8" s="1"/>
  <c r="G121" i="9"/>
  <c r="I121" i="9"/>
  <c r="J121" i="9" s="1"/>
  <c r="F122" i="9" s="1"/>
  <c r="H121" i="9"/>
  <c r="H122" i="4"/>
  <c r="G122" i="4"/>
  <c r="I122" i="4" s="1"/>
  <c r="J122" i="4" s="1"/>
  <c r="F123" i="4" s="1"/>
  <c r="H122" i="9" l="1"/>
  <c r="I122" i="9" s="1"/>
  <c r="J122" i="9" s="1"/>
  <c r="F123" i="9" s="1"/>
  <c r="G122" i="9"/>
  <c r="H123" i="4"/>
  <c r="M13" i="4" s="1"/>
  <c r="G123" i="4"/>
  <c r="I123" i="4" s="1"/>
  <c r="H122" i="8"/>
  <c r="I122" i="8" s="1"/>
  <c r="J122" i="8" s="1"/>
  <c r="F123" i="8" s="1"/>
  <c r="G122" i="8"/>
  <c r="H123" i="8" l="1"/>
  <c r="M13" i="8" s="1"/>
  <c r="G123" i="8"/>
  <c r="I123" i="8" s="1"/>
  <c r="N13" i="4"/>
  <c r="J123" i="4"/>
  <c r="F124" i="4" s="1"/>
  <c r="G123" i="9"/>
  <c r="I123" i="9" s="1"/>
  <c r="H123" i="9"/>
  <c r="M13" i="9" s="1"/>
  <c r="N13" i="9" l="1"/>
  <c r="J123" i="9"/>
  <c r="F124" i="9" s="1"/>
  <c r="N13" i="8"/>
  <c r="J123" i="8"/>
  <c r="F124" i="8" s="1"/>
  <c r="H124" i="4"/>
  <c r="G124" i="4"/>
  <c r="I124" i="4"/>
  <c r="J124" i="4" s="1"/>
  <c r="F125" i="4" s="1"/>
  <c r="G125" i="4" l="1"/>
  <c r="H125" i="4"/>
  <c r="I125" i="4"/>
  <c r="J125" i="4" s="1"/>
  <c r="F126" i="4" s="1"/>
  <c r="I124" i="8"/>
  <c r="J124" i="8" s="1"/>
  <c r="F125" i="8" s="1"/>
  <c r="H124" i="8"/>
  <c r="G124" i="8"/>
  <c r="G124" i="9"/>
  <c r="I124" i="9"/>
  <c r="J124" i="9" s="1"/>
  <c r="F125" i="9" s="1"/>
  <c r="H124" i="9"/>
  <c r="H125" i="9" l="1"/>
  <c r="G125" i="9"/>
  <c r="I125" i="9" s="1"/>
  <c r="J125" i="9" s="1"/>
  <c r="F126" i="9" s="1"/>
  <c r="G125" i="8"/>
  <c r="I125" i="8" s="1"/>
  <c r="J125" i="8" s="1"/>
  <c r="F126" i="8" s="1"/>
  <c r="H125" i="8"/>
  <c r="G126" i="4"/>
  <c r="I126" i="4" s="1"/>
  <c r="J126" i="4" s="1"/>
  <c r="F127" i="4" s="1"/>
  <c r="H126" i="4"/>
  <c r="H126" i="8" l="1"/>
  <c r="G126" i="8"/>
  <c r="I126" i="8" s="1"/>
  <c r="J126" i="8" s="1"/>
  <c r="F127" i="8" s="1"/>
  <c r="G127" i="4"/>
  <c r="H127" i="4"/>
  <c r="I127" i="4" s="1"/>
  <c r="J127" i="4" s="1"/>
  <c r="F128" i="4" s="1"/>
  <c r="G126" i="9"/>
  <c r="I126" i="9"/>
  <c r="J126" i="9" s="1"/>
  <c r="F127" i="9" s="1"/>
  <c r="H126" i="9"/>
  <c r="G128" i="4" l="1"/>
  <c r="H128" i="4"/>
  <c r="I128" i="4" s="1"/>
  <c r="J128" i="4" s="1"/>
  <c r="F129" i="4" s="1"/>
  <c r="H127" i="9"/>
  <c r="G127" i="9"/>
  <c r="I127" i="9" s="1"/>
  <c r="J127" i="9" s="1"/>
  <c r="F128" i="9" s="1"/>
  <c r="H127" i="8"/>
  <c r="G127" i="8"/>
  <c r="I127" i="8" s="1"/>
  <c r="J127" i="8" s="1"/>
  <c r="F128" i="8" s="1"/>
  <c r="H128" i="9" l="1"/>
  <c r="G128" i="9"/>
  <c r="I128" i="9" s="1"/>
  <c r="J128" i="9" s="1"/>
  <c r="F129" i="9" s="1"/>
  <c r="H128" i="8"/>
  <c r="G128" i="8"/>
  <c r="I128" i="8" s="1"/>
  <c r="J128" i="8" s="1"/>
  <c r="F129" i="8" s="1"/>
  <c r="H129" i="4"/>
  <c r="G129" i="4"/>
  <c r="I129" i="4" s="1"/>
  <c r="J129" i="4" s="1"/>
  <c r="F130" i="4" s="1"/>
  <c r="H129" i="8" l="1"/>
  <c r="G129" i="8"/>
  <c r="I129" i="8" s="1"/>
  <c r="J129" i="8" s="1"/>
  <c r="F130" i="8" s="1"/>
  <c r="H129" i="9"/>
  <c r="G129" i="9"/>
  <c r="I129" i="9" s="1"/>
  <c r="J129" i="9" s="1"/>
  <c r="F130" i="9" s="1"/>
  <c r="H130" i="4"/>
  <c r="G130" i="4"/>
  <c r="I130" i="4" s="1"/>
  <c r="J130" i="4" s="1"/>
  <c r="F131" i="4" s="1"/>
  <c r="H130" i="9" l="1"/>
  <c r="G130" i="9"/>
  <c r="I130" i="9"/>
  <c r="J130" i="9" s="1"/>
  <c r="F131" i="9" s="1"/>
  <c r="H131" i="4"/>
  <c r="G131" i="4"/>
  <c r="I131" i="4" s="1"/>
  <c r="J131" i="4" s="1"/>
  <c r="F132" i="4" s="1"/>
  <c r="H130" i="8"/>
  <c r="G130" i="8"/>
  <c r="I130" i="8"/>
  <c r="J130" i="8" s="1"/>
  <c r="F131" i="8" s="1"/>
  <c r="H131" i="8" l="1"/>
  <c r="G131" i="8"/>
  <c r="I131" i="8" s="1"/>
  <c r="J131" i="8" s="1"/>
  <c r="F132" i="8" s="1"/>
  <c r="H132" i="4"/>
  <c r="G132" i="4"/>
  <c r="I132" i="4" s="1"/>
  <c r="J132" i="4" s="1"/>
  <c r="F133" i="4" s="1"/>
  <c r="H131" i="9"/>
  <c r="G131" i="9"/>
  <c r="I131" i="9"/>
  <c r="J131" i="9" s="1"/>
  <c r="F132" i="9" s="1"/>
  <c r="H133" i="4" l="1"/>
  <c r="G133" i="4"/>
  <c r="I133" i="4" s="1"/>
  <c r="J133" i="4" s="1"/>
  <c r="F134" i="4" s="1"/>
  <c r="G132" i="9"/>
  <c r="H132" i="9"/>
  <c r="I132" i="9" s="1"/>
  <c r="J132" i="9" s="1"/>
  <c r="F133" i="9" s="1"/>
  <c r="H132" i="8"/>
  <c r="G132" i="8"/>
  <c r="I132" i="8" s="1"/>
  <c r="J132" i="8" s="1"/>
  <c r="F133" i="8" s="1"/>
  <c r="G133" i="8" l="1"/>
  <c r="I133" i="8" s="1"/>
  <c r="J133" i="8" s="1"/>
  <c r="F134" i="8" s="1"/>
  <c r="H133" i="8"/>
  <c r="G133" i="9"/>
  <c r="I133" i="9"/>
  <c r="J133" i="9" s="1"/>
  <c r="F134" i="9" s="1"/>
  <c r="H133" i="9"/>
  <c r="H134" i="4"/>
  <c r="G134" i="4"/>
  <c r="I134" i="4" s="1"/>
  <c r="J134" i="4" s="1"/>
  <c r="F135" i="4" s="1"/>
  <c r="H134" i="9" l="1"/>
  <c r="G134" i="9"/>
  <c r="I134" i="9" s="1"/>
  <c r="J134" i="9" s="1"/>
  <c r="F135" i="9" s="1"/>
  <c r="H135" i="4"/>
  <c r="G135" i="4"/>
  <c r="I135" i="4" s="1"/>
  <c r="J135" i="4" s="1"/>
  <c r="F136" i="4" s="1"/>
  <c r="H134" i="8"/>
  <c r="G134" i="8"/>
  <c r="I134" i="8" s="1"/>
  <c r="J134" i="8" s="1"/>
  <c r="F135" i="8" s="1"/>
  <c r="H136" i="4" l="1"/>
  <c r="G136" i="4"/>
  <c r="I136" i="4" s="1"/>
  <c r="J136" i="4" s="1"/>
  <c r="F137" i="4" s="1"/>
  <c r="G135" i="8"/>
  <c r="I135" i="8" s="1"/>
  <c r="J135" i="8" s="1"/>
  <c r="F136" i="8" s="1"/>
  <c r="H135" i="8"/>
  <c r="H135" i="9"/>
  <c r="G135" i="9"/>
  <c r="I135" i="9" s="1"/>
  <c r="J135" i="9" s="1"/>
  <c r="F136" i="9" s="1"/>
  <c r="G136" i="8" l="1"/>
  <c r="H136" i="8"/>
  <c r="I136" i="8" s="1"/>
  <c r="J136" i="8" s="1"/>
  <c r="F137" i="8" s="1"/>
  <c r="H136" i="9"/>
  <c r="G136" i="9"/>
  <c r="I136" i="9" s="1"/>
  <c r="J136" i="9" s="1"/>
  <c r="F137" i="9" s="1"/>
  <c r="G137" i="4"/>
  <c r="H137" i="4"/>
  <c r="I137" i="4" s="1"/>
  <c r="J137" i="4" s="1"/>
  <c r="F138" i="4" s="1"/>
  <c r="H137" i="9" l="1"/>
  <c r="G137" i="9"/>
  <c r="I137" i="9" s="1"/>
  <c r="J137" i="9" s="1"/>
  <c r="F138" i="9" s="1"/>
  <c r="H138" i="4"/>
  <c r="G138" i="4"/>
  <c r="I138" i="4" s="1"/>
  <c r="J138" i="4" s="1"/>
  <c r="F139" i="4" s="1"/>
  <c r="G137" i="8"/>
  <c r="I137" i="8" s="1"/>
  <c r="J137" i="8" s="1"/>
  <c r="F138" i="8" s="1"/>
  <c r="H137" i="8"/>
  <c r="G139" i="4" l="1"/>
  <c r="H139" i="4"/>
  <c r="I139" i="4"/>
  <c r="J139" i="4" s="1"/>
  <c r="F140" i="4" s="1"/>
  <c r="H138" i="8"/>
  <c r="G138" i="8"/>
  <c r="I138" i="8"/>
  <c r="J138" i="8" s="1"/>
  <c r="F139" i="8" s="1"/>
  <c r="H138" i="9"/>
  <c r="I138" i="9" s="1"/>
  <c r="J138" i="9" s="1"/>
  <c r="F139" i="9" s="1"/>
  <c r="G138" i="9"/>
  <c r="G139" i="8" l="1"/>
  <c r="H139" i="8"/>
  <c r="I139" i="8" s="1"/>
  <c r="J139" i="8" s="1"/>
  <c r="F140" i="8" s="1"/>
  <c r="H139" i="9"/>
  <c r="G139" i="9"/>
  <c r="I139" i="9" s="1"/>
  <c r="J139" i="9" s="1"/>
  <c r="F140" i="9" s="1"/>
  <c r="J140" i="4"/>
  <c r="F141" i="4" s="1"/>
  <c r="I140" i="4"/>
  <c r="H140" i="4"/>
  <c r="G140" i="4"/>
  <c r="H140" i="9" l="1"/>
  <c r="G140" i="9"/>
  <c r="I140" i="9"/>
  <c r="J140" i="9"/>
  <c r="F141" i="9" s="1"/>
  <c r="H141" i="4"/>
  <c r="G141" i="4"/>
  <c r="I141" i="4"/>
  <c r="J141" i="4" s="1"/>
  <c r="F142" i="4" s="1"/>
  <c r="I140" i="8"/>
  <c r="J140" i="8" s="1"/>
  <c r="F141" i="8" s="1"/>
  <c r="H140" i="8"/>
  <c r="G140" i="8"/>
  <c r="H142" i="4" l="1"/>
  <c r="G142" i="4"/>
  <c r="I142" i="4" s="1"/>
  <c r="J142" i="4" s="1"/>
  <c r="F143" i="4" s="1"/>
  <c r="H141" i="8"/>
  <c r="G141" i="8"/>
  <c r="I141" i="8" s="1"/>
  <c r="J141" i="8" s="1"/>
  <c r="F142" i="8" s="1"/>
  <c r="I141" i="9"/>
  <c r="J141" i="9" s="1"/>
  <c r="F142" i="9" s="1"/>
  <c r="H141" i="9"/>
  <c r="G141" i="9"/>
  <c r="H142" i="8" l="1"/>
  <c r="G142" i="8"/>
  <c r="I142" i="8" s="1"/>
  <c r="J142" i="8" s="1"/>
  <c r="F143" i="8" s="1"/>
  <c r="H142" i="9"/>
  <c r="G142" i="9"/>
  <c r="I142" i="9" s="1"/>
  <c r="J142" i="9" s="1"/>
  <c r="F143" i="9" s="1"/>
  <c r="I143" i="4"/>
  <c r="J143" i="4" s="1"/>
  <c r="F144" i="4" s="1"/>
  <c r="G143" i="4"/>
  <c r="H143" i="4"/>
  <c r="G143" i="9" l="1"/>
  <c r="I143" i="9" s="1"/>
  <c r="J143" i="9" s="1"/>
  <c r="F144" i="9" s="1"/>
  <c r="H143" i="9"/>
  <c r="H144" i="4"/>
  <c r="G144" i="4"/>
  <c r="I144" i="4"/>
  <c r="J144" i="4" s="1"/>
  <c r="F145" i="4" s="1"/>
  <c r="H143" i="8"/>
  <c r="G143" i="8"/>
  <c r="I143" i="8" s="1"/>
  <c r="J143" i="8" s="1"/>
  <c r="F144" i="8" s="1"/>
  <c r="H145" i="4" l="1"/>
  <c r="G145" i="4"/>
  <c r="I145" i="4" s="1"/>
  <c r="J145" i="4" s="1"/>
  <c r="F146" i="4" s="1"/>
  <c r="H144" i="8"/>
  <c r="G144" i="8"/>
  <c r="I144" i="8" s="1"/>
  <c r="J144" i="8" s="1"/>
  <c r="F145" i="8" s="1"/>
  <c r="H144" i="9"/>
  <c r="G144" i="9"/>
  <c r="I144" i="9" s="1"/>
  <c r="J144" i="9" s="1"/>
  <c r="F145" i="9" s="1"/>
  <c r="G145" i="8" l="1"/>
  <c r="H145" i="8"/>
  <c r="I145" i="8" s="1"/>
  <c r="J145" i="8" s="1"/>
  <c r="F146" i="8" s="1"/>
  <c r="G145" i="9"/>
  <c r="I145" i="9" s="1"/>
  <c r="J145" i="9" s="1"/>
  <c r="F146" i="9" s="1"/>
  <c r="H145" i="9"/>
  <c r="H146" i="4"/>
  <c r="G146" i="4"/>
  <c r="I146" i="4" s="1"/>
  <c r="J146" i="4" s="1"/>
  <c r="F147" i="4" s="1"/>
  <c r="H146" i="9" l="1"/>
  <c r="G146" i="9"/>
  <c r="I146" i="9"/>
  <c r="J146" i="9" s="1"/>
  <c r="F147" i="9" s="1"/>
  <c r="I147" i="4"/>
  <c r="J147" i="4" s="1"/>
  <c r="F148" i="4" s="1"/>
  <c r="G147" i="4"/>
  <c r="H147" i="4"/>
  <c r="H146" i="8"/>
  <c r="G146" i="8"/>
  <c r="I146" i="8" s="1"/>
  <c r="J146" i="8" s="1"/>
  <c r="F147" i="8" s="1"/>
  <c r="H147" i="8" l="1"/>
  <c r="G147" i="8"/>
  <c r="I147" i="8" s="1"/>
  <c r="J147" i="8" s="1"/>
  <c r="F148" i="8" s="1"/>
  <c r="G148" i="4"/>
  <c r="H148" i="4"/>
  <c r="I148" i="4"/>
  <c r="J148" i="4" s="1"/>
  <c r="F149" i="4" s="1"/>
  <c r="H147" i="9"/>
  <c r="G147" i="9"/>
  <c r="I147" i="9" s="1"/>
  <c r="J147" i="9" s="1"/>
  <c r="F148" i="9" s="1"/>
  <c r="G149" i="4" l="1"/>
  <c r="I149" i="4" s="1"/>
  <c r="J149" i="4" s="1"/>
  <c r="F150" i="4" s="1"/>
  <c r="H149" i="4"/>
  <c r="H148" i="9"/>
  <c r="G148" i="9"/>
  <c r="I148" i="9" s="1"/>
  <c r="J148" i="9" s="1"/>
  <c r="F149" i="9" s="1"/>
  <c r="G148" i="8"/>
  <c r="I148" i="8"/>
  <c r="J148" i="8" s="1"/>
  <c r="F149" i="8" s="1"/>
  <c r="H148" i="8"/>
  <c r="G149" i="9" l="1"/>
  <c r="H149" i="9"/>
  <c r="I149" i="9" s="1"/>
  <c r="J149" i="9" s="1"/>
  <c r="F150" i="9" s="1"/>
  <c r="H149" i="8"/>
  <c r="G149" i="8"/>
  <c r="I149" i="8" s="1"/>
  <c r="J149" i="8" s="1"/>
  <c r="F150" i="8" s="1"/>
  <c r="H150" i="4"/>
  <c r="G150" i="4"/>
  <c r="I150" i="4" s="1"/>
  <c r="J150" i="4" s="1"/>
  <c r="F151" i="4" s="1"/>
  <c r="G150" i="8" l="1"/>
  <c r="I150" i="8" s="1"/>
  <c r="J150" i="8" s="1"/>
  <c r="F151" i="8" s="1"/>
  <c r="H150" i="8"/>
  <c r="H151" i="4"/>
  <c r="G151" i="4"/>
  <c r="I151" i="4" s="1"/>
  <c r="J151" i="4" s="1"/>
  <c r="F152" i="4" s="1"/>
  <c r="G150" i="9"/>
  <c r="H150" i="9"/>
  <c r="I150" i="9"/>
  <c r="J150" i="9" s="1"/>
  <c r="F151" i="9" s="1"/>
  <c r="H152" i="4" l="1"/>
  <c r="G152" i="4"/>
  <c r="I152" i="4" s="1"/>
  <c r="J152" i="4" s="1"/>
  <c r="F153" i="4" s="1"/>
  <c r="H151" i="9"/>
  <c r="G151" i="9"/>
  <c r="I151" i="9" s="1"/>
  <c r="J151" i="9" s="1"/>
  <c r="F152" i="9" s="1"/>
  <c r="H151" i="8"/>
  <c r="G151" i="8"/>
  <c r="I151" i="8"/>
  <c r="J151" i="8" s="1"/>
  <c r="F152" i="8" s="1"/>
  <c r="H152" i="9" l="1"/>
  <c r="G152" i="9"/>
  <c r="I152" i="9" s="1"/>
  <c r="J152" i="9" s="1"/>
  <c r="F153" i="9" s="1"/>
  <c r="H152" i="8"/>
  <c r="G152" i="8"/>
  <c r="I152" i="8" s="1"/>
  <c r="J152" i="8" s="1"/>
  <c r="F153" i="8" s="1"/>
  <c r="G153" i="4"/>
  <c r="H153" i="4"/>
  <c r="I153" i="4" s="1"/>
  <c r="J153" i="4" s="1"/>
  <c r="F154" i="4" s="1"/>
  <c r="H154" i="4" l="1"/>
  <c r="G154" i="4"/>
  <c r="I154" i="4" s="1"/>
  <c r="J154" i="4" s="1"/>
  <c r="F155" i="4" s="1"/>
  <c r="G153" i="8"/>
  <c r="I153" i="8" s="1"/>
  <c r="J153" i="8" s="1"/>
  <c r="F154" i="8" s="1"/>
  <c r="H153" i="8"/>
  <c r="H153" i="9"/>
  <c r="G153" i="9"/>
  <c r="I153" i="9" s="1"/>
  <c r="J153" i="9" s="1"/>
  <c r="F154" i="9" s="1"/>
  <c r="H155" i="4" l="1"/>
  <c r="G155" i="4"/>
  <c r="I155" i="4" s="1"/>
  <c r="J155" i="4" s="1"/>
  <c r="F156" i="4" s="1"/>
  <c r="G154" i="9"/>
  <c r="I154" i="9"/>
  <c r="J154" i="9" s="1"/>
  <c r="F155" i="9" s="1"/>
  <c r="H154" i="9"/>
  <c r="I154" i="8"/>
  <c r="J154" i="8" s="1"/>
  <c r="F155" i="8" s="1"/>
  <c r="H154" i="8"/>
  <c r="G154" i="8"/>
  <c r="H155" i="9" l="1"/>
  <c r="G155" i="9"/>
  <c r="I155" i="9" s="1"/>
  <c r="J155" i="9" s="1"/>
  <c r="F156" i="9" s="1"/>
  <c r="H155" i="8"/>
  <c r="J155" i="8"/>
  <c r="F156" i="8" s="1"/>
  <c r="I155" i="8"/>
  <c r="G155" i="8"/>
  <c r="H156" i="4"/>
  <c r="G156" i="4"/>
  <c r="I156" i="4" s="1"/>
  <c r="J156" i="4" s="1"/>
  <c r="F157" i="4" s="1"/>
  <c r="H156" i="8" l="1"/>
  <c r="G156" i="8"/>
  <c r="I156" i="8" s="1"/>
  <c r="J156" i="8" s="1"/>
  <c r="F157" i="8" s="1"/>
  <c r="H157" i="4"/>
  <c r="G157" i="4"/>
  <c r="I157" i="4" s="1"/>
  <c r="J157" i="4" s="1"/>
  <c r="F158" i="4" s="1"/>
  <c r="H156" i="9"/>
  <c r="G156" i="9"/>
  <c r="I156" i="9" s="1"/>
  <c r="J156" i="9" s="1"/>
  <c r="F157" i="9" s="1"/>
  <c r="H158" i="4" l="1"/>
  <c r="G158" i="4"/>
  <c r="I158" i="4" s="1"/>
  <c r="J158" i="4" s="1"/>
  <c r="F159" i="4" s="1"/>
  <c r="H157" i="9"/>
  <c r="G157" i="9"/>
  <c r="I157" i="9" s="1"/>
  <c r="J157" i="9" s="1"/>
  <c r="F158" i="9" s="1"/>
  <c r="H157" i="8"/>
  <c r="G157" i="8"/>
  <c r="I157" i="8" s="1"/>
  <c r="J157" i="8" s="1"/>
  <c r="F158" i="8" s="1"/>
  <c r="G158" i="9" l="1"/>
  <c r="I158" i="9"/>
  <c r="J158" i="9" s="1"/>
  <c r="F159" i="9" s="1"/>
  <c r="H158" i="9"/>
  <c r="I158" i="8"/>
  <c r="J158" i="8" s="1"/>
  <c r="F159" i="8" s="1"/>
  <c r="H158" i="8"/>
  <c r="G158" i="8"/>
  <c r="H159" i="4"/>
  <c r="G159" i="4"/>
  <c r="I159" i="4" s="1"/>
  <c r="J159" i="4" s="1"/>
  <c r="F160" i="4" s="1"/>
  <c r="H160" i="4" l="1"/>
  <c r="I160" i="4" s="1"/>
  <c r="J160" i="4" s="1"/>
  <c r="F161" i="4" s="1"/>
  <c r="G160" i="4"/>
  <c r="H159" i="8"/>
  <c r="G159" i="8"/>
  <c r="I159" i="8" s="1"/>
  <c r="J159" i="8" s="1"/>
  <c r="F160" i="8" s="1"/>
  <c r="G159" i="9"/>
  <c r="H159" i="9"/>
  <c r="I159" i="9"/>
  <c r="J159" i="9" s="1"/>
  <c r="F160" i="9" s="1"/>
  <c r="G160" i="8" l="1"/>
  <c r="I160" i="8" s="1"/>
  <c r="J160" i="8" s="1"/>
  <c r="F161" i="8" s="1"/>
  <c r="H160" i="8"/>
  <c r="H160" i="9"/>
  <c r="I160" i="9"/>
  <c r="J160" i="9" s="1"/>
  <c r="F161" i="9" s="1"/>
  <c r="G160" i="9"/>
  <c r="I161" i="4"/>
  <c r="J161" i="4" s="1"/>
  <c r="F162" i="4" s="1"/>
  <c r="G161" i="4"/>
  <c r="H161" i="4"/>
  <c r="H161" i="9" l="1"/>
  <c r="G161" i="9"/>
  <c r="I161" i="9" s="1"/>
  <c r="J161" i="9" s="1"/>
  <c r="F162" i="9" s="1"/>
  <c r="H162" i="4"/>
  <c r="G162" i="4"/>
  <c r="I162" i="4" s="1"/>
  <c r="J162" i="4" s="1"/>
  <c r="F163" i="4" s="1"/>
  <c r="H161" i="8"/>
  <c r="G161" i="8"/>
  <c r="I161" i="8"/>
  <c r="J161" i="8" s="1"/>
  <c r="F162" i="8" s="1"/>
  <c r="G163" i="4" l="1"/>
  <c r="I163" i="4" s="1"/>
  <c r="J163" i="4" s="1"/>
  <c r="F164" i="4" s="1"/>
  <c r="H163" i="4"/>
  <c r="H162" i="8"/>
  <c r="G162" i="8"/>
  <c r="I162" i="8" s="1"/>
  <c r="J162" i="8" s="1"/>
  <c r="F163" i="8" s="1"/>
  <c r="I162" i="9"/>
  <c r="J162" i="9" s="1"/>
  <c r="F163" i="9" s="1"/>
  <c r="H162" i="9"/>
  <c r="G162" i="9"/>
  <c r="H163" i="8" l="1"/>
  <c r="G163" i="8"/>
  <c r="I163" i="8"/>
  <c r="J163" i="8" s="1"/>
  <c r="F164" i="8" s="1"/>
  <c r="H163" i="9"/>
  <c r="G163" i="9"/>
  <c r="I163" i="9" s="1"/>
  <c r="J163" i="9" s="1"/>
  <c r="F164" i="9" s="1"/>
  <c r="H164" i="4"/>
  <c r="G164" i="4"/>
  <c r="I164" i="4" s="1"/>
  <c r="J164" i="4" s="1"/>
  <c r="F165" i="4" s="1"/>
  <c r="G164" i="9" l="1"/>
  <c r="H164" i="9"/>
  <c r="I164" i="9" s="1"/>
  <c r="J164" i="9" s="1"/>
  <c r="F165" i="9" s="1"/>
  <c r="I165" i="4"/>
  <c r="J165" i="4" s="1"/>
  <c r="F166" i="4" s="1"/>
  <c r="G165" i="4"/>
  <c r="H165" i="4"/>
  <c r="H164" i="8"/>
  <c r="G164" i="8"/>
  <c r="I164" i="8" s="1"/>
  <c r="J164" i="8" s="1"/>
  <c r="F165" i="8" s="1"/>
  <c r="H166" i="4" l="1"/>
  <c r="G166" i="4"/>
  <c r="I166" i="4" s="1"/>
  <c r="J166" i="4" s="1"/>
  <c r="F167" i="4" s="1"/>
  <c r="I165" i="8"/>
  <c r="J165" i="8" s="1"/>
  <c r="F166" i="8" s="1"/>
  <c r="G165" i="8"/>
  <c r="H165" i="8"/>
  <c r="G165" i="9"/>
  <c r="I165" i="9"/>
  <c r="J165" i="9" s="1"/>
  <c r="F166" i="9" s="1"/>
  <c r="H165" i="9"/>
  <c r="G166" i="8" l="1"/>
  <c r="H166" i="8"/>
  <c r="I166" i="8"/>
  <c r="J166" i="8" s="1"/>
  <c r="F167" i="8" s="1"/>
  <c r="H166" i="9"/>
  <c r="G166" i="9"/>
  <c r="I166" i="9"/>
  <c r="J166" i="9" s="1"/>
  <c r="F167" i="9" s="1"/>
  <c r="H167" i="4"/>
  <c r="G167" i="4"/>
  <c r="I167" i="4" s="1"/>
  <c r="J167" i="4" s="1"/>
  <c r="F168" i="4" s="1"/>
  <c r="H168" i="4" l="1"/>
  <c r="G168" i="4"/>
  <c r="I168" i="4" s="1"/>
  <c r="J168" i="4" s="1"/>
  <c r="F169" i="4" s="1"/>
  <c r="I167" i="9"/>
  <c r="J167" i="9" s="1"/>
  <c r="F168" i="9" s="1"/>
  <c r="H167" i="9"/>
  <c r="G167" i="9"/>
  <c r="G167" i="8"/>
  <c r="I167" i="8" s="1"/>
  <c r="J167" i="8" s="1"/>
  <c r="F168" i="8" s="1"/>
  <c r="H167" i="8"/>
  <c r="H168" i="9" l="1"/>
  <c r="G168" i="9"/>
  <c r="I168" i="9"/>
  <c r="J168" i="9"/>
  <c r="F169" i="9" s="1"/>
  <c r="G168" i="8"/>
  <c r="H168" i="8"/>
  <c r="I168" i="8" s="1"/>
  <c r="J168" i="8" s="1"/>
  <c r="F169" i="8" s="1"/>
  <c r="G169" i="4"/>
  <c r="H169" i="4"/>
  <c r="I169" i="4" s="1"/>
  <c r="J169" i="4" s="1"/>
  <c r="F170" i="4" s="1"/>
  <c r="G169" i="8" l="1"/>
  <c r="I169" i="8" s="1"/>
  <c r="J169" i="8" s="1"/>
  <c r="F170" i="8" s="1"/>
  <c r="H169" i="8"/>
  <c r="G170" i="4"/>
  <c r="H170" i="4"/>
  <c r="I170" i="4" s="1"/>
  <c r="J170" i="4" s="1"/>
  <c r="F171" i="4" s="1"/>
  <c r="H169" i="9"/>
  <c r="G169" i="9"/>
  <c r="I169" i="9" s="1"/>
  <c r="J169" i="9" s="1"/>
  <c r="F170" i="9" s="1"/>
  <c r="G171" i="4" l="1"/>
  <c r="H171" i="4"/>
  <c r="I171" i="4"/>
  <c r="J171" i="4" s="1"/>
  <c r="F172" i="4" s="1"/>
  <c r="H170" i="9"/>
  <c r="G170" i="9"/>
  <c r="I170" i="9" s="1"/>
  <c r="J170" i="9" s="1"/>
  <c r="F171" i="9" s="1"/>
  <c r="H170" i="8"/>
  <c r="G170" i="8"/>
  <c r="I170" i="8" s="1"/>
  <c r="J170" i="8" s="1"/>
  <c r="F171" i="8" s="1"/>
  <c r="G171" i="9" l="1"/>
  <c r="H171" i="9"/>
  <c r="I171" i="9" s="1"/>
  <c r="J171" i="9" s="1"/>
  <c r="F172" i="9" s="1"/>
  <c r="H171" i="8"/>
  <c r="G171" i="8"/>
  <c r="I171" i="8" s="1"/>
  <c r="J171" i="8" s="1"/>
  <c r="F172" i="8" s="1"/>
  <c r="H172" i="4"/>
  <c r="G172" i="4"/>
  <c r="I172" i="4" s="1"/>
  <c r="J172" i="4" s="1"/>
  <c r="F173" i="4" s="1"/>
  <c r="H172" i="8" l="1"/>
  <c r="G172" i="8"/>
  <c r="I172" i="8" s="1"/>
  <c r="J172" i="8" s="1"/>
  <c r="F173" i="8" s="1"/>
  <c r="H173" i="4"/>
  <c r="G173" i="4"/>
  <c r="I173" i="4" s="1"/>
  <c r="J173" i="4" s="1"/>
  <c r="F174" i="4" s="1"/>
  <c r="H172" i="9"/>
  <c r="G172" i="9"/>
  <c r="I172" i="9" s="1"/>
  <c r="J172" i="9" s="1"/>
  <c r="F173" i="9" s="1"/>
  <c r="G174" i="4" l="1"/>
  <c r="I174" i="4" s="1"/>
  <c r="J174" i="4" s="1"/>
  <c r="F175" i="4" s="1"/>
  <c r="H174" i="4"/>
  <c r="I173" i="9"/>
  <c r="J173" i="9" s="1"/>
  <c r="F174" i="9" s="1"/>
  <c r="G173" i="9"/>
  <c r="H173" i="9"/>
  <c r="G173" i="8"/>
  <c r="H173" i="8"/>
  <c r="I173" i="8" s="1"/>
  <c r="J173" i="8" s="1"/>
  <c r="F174" i="8" s="1"/>
  <c r="H174" i="9" l="1"/>
  <c r="G174" i="9"/>
  <c r="I174" i="9"/>
  <c r="J174" i="9" s="1"/>
  <c r="F175" i="9" s="1"/>
  <c r="H174" i="8"/>
  <c r="G174" i="8"/>
  <c r="I174" i="8" s="1"/>
  <c r="J174" i="8" s="1"/>
  <c r="F175" i="8" s="1"/>
  <c r="G175" i="4"/>
  <c r="I175" i="4" s="1"/>
  <c r="J175" i="4" s="1"/>
  <c r="F176" i="4" s="1"/>
  <c r="H175" i="4"/>
  <c r="H175" i="8" l="1"/>
  <c r="G175" i="8"/>
  <c r="I175" i="8" s="1"/>
  <c r="J175" i="8" s="1"/>
  <c r="F176" i="8" s="1"/>
  <c r="H176" i="4"/>
  <c r="G176" i="4"/>
  <c r="I176" i="4"/>
  <c r="J176" i="4" s="1"/>
  <c r="F177" i="4" s="1"/>
  <c r="H175" i="9"/>
  <c r="G175" i="9"/>
  <c r="I175" i="9" s="1"/>
  <c r="J175" i="9" s="1"/>
  <c r="F176" i="9" s="1"/>
  <c r="H176" i="9" l="1"/>
  <c r="G176" i="9"/>
  <c r="I176" i="9" s="1"/>
  <c r="J176" i="9" s="1"/>
  <c r="F177" i="9" s="1"/>
  <c r="H177" i="4"/>
  <c r="G177" i="4"/>
  <c r="I177" i="4" s="1"/>
  <c r="J177" i="4" s="1"/>
  <c r="F178" i="4" s="1"/>
  <c r="H176" i="8"/>
  <c r="G176" i="8"/>
  <c r="I176" i="8" s="1"/>
  <c r="J176" i="8" s="1"/>
  <c r="F177" i="8" s="1"/>
  <c r="H178" i="4" l="1"/>
  <c r="G178" i="4"/>
  <c r="I178" i="4" s="1"/>
  <c r="J178" i="4" s="1"/>
  <c r="F179" i="4" s="1"/>
  <c r="H177" i="8"/>
  <c r="G177" i="8"/>
  <c r="I177" i="8"/>
  <c r="J177" i="8" s="1"/>
  <c r="F178" i="8" s="1"/>
  <c r="H177" i="9"/>
  <c r="G177" i="9"/>
  <c r="I177" i="9" s="1"/>
  <c r="J177" i="9" s="1"/>
  <c r="F178" i="9" s="1"/>
  <c r="H178" i="8" l="1"/>
  <c r="G178" i="8"/>
  <c r="I178" i="8" s="1"/>
  <c r="J178" i="8" s="1"/>
  <c r="F179" i="8" s="1"/>
  <c r="G178" i="9"/>
  <c r="I178" i="9" s="1"/>
  <c r="J178" i="9" s="1"/>
  <c r="F179" i="9" s="1"/>
  <c r="H178" i="9"/>
  <c r="H179" i="4"/>
  <c r="G179" i="4"/>
  <c r="I179" i="4" s="1"/>
  <c r="J179" i="4" s="1"/>
  <c r="F180" i="4" s="1"/>
  <c r="G179" i="9" l="1"/>
  <c r="I179" i="9" s="1"/>
  <c r="J179" i="9" s="1"/>
  <c r="F180" i="9" s="1"/>
  <c r="H179" i="9"/>
  <c r="H180" i="4"/>
  <c r="G180" i="4"/>
  <c r="I180" i="4" s="1"/>
  <c r="J180" i="4" s="1"/>
  <c r="F181" i="4" s="1"/>
  <c r="H179" i="8"/>
  <c r="G179" i="8"/>
  <c r="I179" i="8" s="1"/>
  <c r="J179" i="8" s="1"/>
  <c r="F180" i="8" s="1"/>
  <c r="H180" i="8" l="1"/>
  <c r="G180" i="8"/>
  <c r="I180" i="8" s="1"/>
  <c r="J180" i="8" s="1"/>
  <c r="F181" i="8" s="1"/>
  <c r="H181" i="4"/>
  <c r="G181" i="4"/>
  <c r="I181" i="4" s="1"/>
  <c r="J181" i="4" s="1"/>
  <c r="F182" i="4" s="1"/>
  <c r="H180" i="9"/>
  <c r="G180" i="9"/>
  <c r="I180" i="9"/>
  <c r="J180" i="9" s="1"/>
  <c r="F181" i="9" s="1"/>
  <c r="G181" i="9" l="1"/>
  <c r="H181" i="9"/>
  <c r="I181" i="9" s="1"/>
  <c r="J181" i="9" s="1"/>
  <c r="F182" i="9" s="1"/>
  <c r="H181" i="8"/>
  <c r="G181" i="8"/>
  <c r="I181" i="8" s="1"/>
  <c r="J181" i="8" s="1"/>
  <c r="F182" i="8" s="1"/>
  <c r="H182" i="4"/>
  <c r="G182" i="4"/>
  <c r="I182" i="4" s="1"/>
  <c r="J182" i="4" s="1"/>
  <c r="F183" i="4" s="1"/>
  <c r="G183" i="4" l="1"/>
  <c r="I183" i="4" s="1"/>
  <c r="J183" i="4" s="1"/>
  <c r="F184" i="4" s="1"/>
  <c r="H183" i="4"/>
  <c r="H182" i="8"/>
  <c r="I182" i="8"/>
  <c r="J182" i="8" s="1"/>
  <c r="F183" i="8" s="1"/>
  <c r="G182" i="8"/>
  <c r="G182" i="9"/>
  <c r="H182" i="9"/>
  <c r="I182" i="9" s="1"/>
  <c r="J182" i="9" s="1"/>
  <c r="F183" i="9" s="1"/>
  <c r="G183" i="8" l="1"/>
  <c r="I183" i="8" s="1"/>
  <c r="J183" i="8" s="1"/>
  <c r="F184" i="8" s="1"/>
  <c r="H183" i="8"/>
  <c r="G183" i="9"/>
  <c r="I183" i="9" s="1"/>
  <c r="J183" i="9" s="1"/>
  <c r="F184" i="9" s="1"/>
  <c r="H183" i="9"/>
  <c r="H184" i="4"/>
  <c r="G184" i="4"/>
  <c r="I184" i="4" s="1"/>
  <c r="J184" i="4" s="1"/>
  <c r="F185" i="4" s="1"/>
  <c r="G184" i="9" l="1"/>
  <c r="H184" i="9"/>
  <c r="I184" i="9"/>
  <c r="J184" i="9" s="1"/>
  <c r="F185" i="9" s="1"/>
  <c r="H185" i="4"/>
  <c r="G185" i="4"/>
  <c r="I185" i="4" s="1"/>
  <c r="J185" i="4" s="1"/>
  <c r="F186" i="4" s="1"/>
  <c r="I184" i="8"/>
  <c r="J184" i="8" s="1"/>
  <c r="F185" i="8" s="1"/>
  <c r="H184" i="8"/>
  <c r="G184" i="8"/>
  <c r="G186" i="4" l="1"/>
  <c r="H186" i="4"/>
  <c r="I186" i="4"/>
  <c r="J186" i="4" s="1"/>
  <c r="F187" i="4" s="1"/>
  <c r="H185" i="8"/>
  <c r="G185" i="8"/>
  <c r="I185" i="8" s="1"/>
  <c r="J185" i="8" s="1"/>
  <c r="F186" i="8" s="1"/>
  <c r="H185" i="9"/>
  <c r="G185" i="9"/>
  <c r="I185" i="9" s="1"/>
  <c r="J185" i="9" s="1"/>
  <c r="F186" i="9" s="1"/>
  <c r="H186" i="8" l="1"/>
  <c r="G186" i="8"/>
  <c r="I186" i="8" s="1"/>
  <c r="J186" i="8" s="1"/>
  <c r="F187" i="8" s="1"/>
  <c r="G186" i="9"/>
  <c r="H186" i="9"/>
  <c r="I186" i="9" s="1"/>
  <c r="J186" i="9" s="1"/>
  <c r="F187" i="9" s="1"/>
  <c r="H187" i="4"/>
  <c r="G187" i="4"/>
  <c r="I187" i="4" s="1"/>
  <c r="J187" i="4" s="1"/>
  <c r="F188" i="4" s="1"/>
  <c r="H188" i="4" l="1"/>
  <c r="G188" i="4"/>
  <c r="I188" i="4" s="1"/>
  <c r="J188" i="4" s="1"/>
  <c r="F189" i="4" s="1"/>
  <c r="G187" i="9"/>
  <c r="I187" i="9" s="1"/>
  <c r="J187" i="9" s="1"/>
  <c r="F188" i="9" s="1"/>
  <c r="H187" i="9"/>
  <c r="H187" i="8"/>
  <c r="I187" i="8"/>
  <c r="J187" i="8" s="1"/>
  <c r="F188" i="8" s="1"/>
  <c r="G187" i="8"/>
  <c r="H188" i="9" l="1"/>
  <c r="G188" i="9"/>
  <c r="I188" i="9" s="1"/>
  <c r="J188" i="9" s="1"/>
  <c r="F189" i="9" s="1"/>
  <c r="I188" i="8"/>
  <c r="J188" i="8" s="1"/>
  <c r="F189" i="8" s="1"/>
  <c r="H188" i="8"/>
  <c r="G188" i="8"/>
  <c r="H189" i="4"/>
  <c r="G189" i="4"/>
  <c r="I189" i="4" s="1"/>
  <c r="J189" i="4" s="1"/>
  <c r="F190" i="4" s="1"/>
  <c r="G190" i="4" l="1"/>
  <c r="H190" i="4"/>
  <c r="I190" i="4" s="1"/>
  <c r="J190" i="4" s="1"/>
  <c r="F191" i="4" s="1"/>
  <c r="H189" i="8"/>
  <c r="G189" i="8"/>
  <c r="I189" i="8" s="1"/>
  <c r="J189" i="8" s="1"/>
  <c r="F190" i="8" s="1"/>
  <c r="I189" i="9"/>
  <c r="J189" i="9" s="1"/>
  <c r="F190" i="9" s="1"/>
  <c r="H189" i="9"/>
  <c r="G189" i="9"/>
  <c r="G190" i="9" l="1"/>
  <c r="H190" i="9"/>
  <c r="I190" i="9"/>
  <c r="J190" i="9" s="1"/>
  <c r="F191" i="9" s="1"/>
  <c r="I191" i="4"/>
  <c r="J191" i="4" s="1"/>
  <c r="F192" i="4" s="1"/>
  <c r="G191" i="4"/>
  <c r="H191" i="4"/>
  <c r="I190" i="8"/>
  <c r="J190" i="8" s="1"/>
  <c r="F191" i="8" s="1"/>
  <c r="H190" i="8"/>
  <c r="G190" i="8"/>
  <c r="G191" i="8" l="1"/>
  <c r="I191" i="8" s="1"/>
  <c r="J191" i="8" s="1"/>
  <c r="F192" i="8" s="1"/>
  <c r="H191" i="8"/>
  <c r="H192" i="4"/>
  <c r="G192" i="4"/>
  <c r="I192" i="4"/>
  <c r="J192" i="4" s="1"/>
  <c r="F193" i="4" s="1"/>
  <c r="H191" i="9"/>
  <c r="G191" i="9"/>
  <c r="I191" i="9"/>
  <c r="J191" i="9" s="1"/>
  <c r="F192" i="9" s="1"/>
  <c r="G192" i="9" l="1"/>
  <c r="I192" i="9" s="1"/>
  <c r="J192" i="9" s="1"/>
  <c r="F193" i="9" s="1"/>
  <c r="H192" i="9"/>
  <c r="H193" i="4"/>
  <c r="G193" i="4"/>
  <c r="I193" i="4" s="1"/>
  <c r="J193" i="4" s="1"/>
  <c r="F194" i="4" s="1"/>
  <c r="H192" i="8"/>
  <c r="G192" i="8"/>
  <c r="I192" i="8" s="1"/>
  <c r="J192" i="8" s="1"/>
  <c r="F193" i="8" s="1"/>
  <c r="H193" i="8" l="1"/>
  <c r="G193" i="8"/>
  <c r="I193" i="8" s="1"/>
  <c r="J193" i="8" s="1"/>
  <c r="F194" i="8" s="1"/>
  <c r="H194" i="4"/>
  <c r="G194" i="4"/>
  <c r="I194" i="4" s="1"/>
  <c r="J194" i="4" s="1"/>
  <c r="F195" i="4" s="1"/>
  <c r="H193" i="9"/>
  <c r="G193" i="9"/>
  <c r="I193" i="9" s="1"/>
  <c r="J193" i="9" s="1"/>
  <c r="F194" i="9" s="1"/>
  <c r="G195" i="4" l="1"/>
  <c r="I195" i="4" s="1"/>
  <c r="J195" i="4" s="1"/>
  <c r="F196" i="4" s="1"/>
  <c r="H195" i="4"/>
  <c r="H194" i="9"/>
  <c r="G194" i="9"/>
  <c r="I194" i="9" s="1"/>
  <c r="J194" i="9" s="1"/>
  <c r="F195" i="9" s="1"/>
  <c r="H194" i="8"/>
  <c r="G194" i="8"/>
  <c r="I194" i="8" s="1"/>
  <c r="J194" i="8" s="1"/>
  <c r="F195" i="8" s="1"/>
  <c r="H195" i="9" l="1"/>
  <c r="G195" i="9"/>
  <c r="I195" i="9"/>
  <c r="J195" i="9"/>
  <c r="F196" i="9" s="1"/>
  <c r="G195" i="8"/>
  <c r="I195" i="8" s="1"/>
  <c r="J195" i="8" s="1"/>
  <c r="F196" i="8" s="1"/>
  <c r="H195" i="8"/>
  <c r="H196" i="4"/>
  <c r="G196" i="4"/>
  <c r="I196" i="4"/>
  <c r="J196" i="4" s="1"/>
  <c r="F197" i="4" s="1"/>
  <c r="H196" i="8" l="1"/>
  <c r="G196" i="8"/>
  <c r="I196" i="8"/>
  <c r="J196" i="8"/>
  <c r="F197" i="8"/>
  <c r="H197" i="4"/>
  <c r="G197" i="4"/>
  <c r="I197" i="4" s="1"/>
  <c r="J197" i="4" s="1"/>
  <c r="F198" i="4" s="1"/>
  <c r="G196" i="9"/>
  <c r="H196" i="9"/>
  <c r="I196" i="9" s="1"/>
  <c r="J196" i="9" s="1"/>
  <c r="F197" i="9" s="1"/>
  <c r="H197" i="9" l="1"/>
  <c r="G197" i="9"/>
  <c r="I197" i="9" s="1"/>
  <c r="J197" i="9" s="1"/>
  <c r="F198" i="9" s="1"/>
  <c r="I198" i="4"/>
  <c r="J198" i="4" s="1"/>
  <c r="F199" i="4" s="1"/>
  <c r="H198" i="4"/>
  <c r="G198" i="4"/>
  <c r="H197" i="8"/>
  <c r="G197" i="8"/>
  <c r="I197" i="8" s="1"/>
  <c r="J197" i="8" s="1"/>
  <c r="F198" i="8" s="1"/>
  <c r="H199" i="4" l="1"/>
  <c r="G199" i="4"/>
  <c r="I199" i="4" s="1"/>
  <c r="J199" i="4" s="1"/>
  <c r="F200" i="4" s="1"/>
  <c r="I198" i="8"/>
  <c r="J198" i="8" s="1"/>
  <c r="F199" i="8" s="1"/>
  <c r="H198" i="8"/>
  <c r="G198" i="8"/>
  <c r="H198" i="9"/>
  <c r="G198" i="9"/>
  <c r="I198" i="9" s="1"/>
  <c r="J198" i="9" s="1"/>
  <c r="F199" i="9" s="1"/>
  <c r="G199" i="8" l="1"/>
  <c r="H199" i="8"/>
  <c r="I199" i="8" s="1"/>
  <c r="J199" i="8" s="1"/>
  <c r="F200" i="8" s="1"/>
  <c r="H199" i="9"/>
  <c r="G199" i="9"/>
  <c r="I199" i="9"/>
  <c r="J199" i="9" s="1"/>
  <c r="F200" i="9" s="1"/>
  <c r="H200" i="4"/>
  <c r="G200" i="4"/>
  <c r="I200" i="4" s="1"/>
  <c r="J200" i="4" s="1"/>
  <c r="F201" i="4" s="1"/>
  <c r="H200" i="9" l="1"/>
  <c r="G200" i="9"/>
  <c r="I200" i="9" s="1"/>
  <c r="J200" i="9" s="1"/>
  <c r="F201" i="9" s="1"/>
  <c r="G201" i="4"/>
  <c r="H201" i="4"/>
  <c r="I201" i="4" s="1"/>
  <c r="J201" i="4" s="1"/>
  <c r="F202" i="4" s="1"/>
  <c r="G200" i="8"/>
  <c r="I200" i="8" s="1"/>
  <c r="J200" i="8" s="1"/>
  <c r="F201" i="8" s="1"/>
  <c r="H200" i="8"/>
  <c r="G202" i="4" l="1"/>
  <c r="H202" i="4"/>
  <c r="I202" i="4" s="1"/>
  <c r="J202" i="4" s="1"/>
  <c r="F203" i="4" s="1"/>
  <c r="H201" i="8"/>
  <c r="G201" i="8"/>
  <c r="I201" i="8" s="1"/>
  <c r="J201" i="8" s="1"/>
  <c r="F202" i="8" s="1"/>
  <c r="G201" i="9"/>
  <c r="I201" i="9" s="1"/>
  <c r="J201" i="9" s="1"/>
  <c r="F202" i="9" s="1"/>
  <c r="H201" i="9"/>
  <c r="G202" i="8" l="1"/>
  <c r="I202" i="8" s="1"/>
  <c r="J202" i="8" s="1"/>
  <c r="F203" i="8" s="1"/>
  <c r="H202" i="8"/>
  <c r="H202" i="9"/>
  <c r="G202" i="9"/>
  <c r="I202" i="9" s="1"/>
  <c r="J202" i="9" s="1"/>
  <c r="F203" i="9" s="1"/>
  <c r="H203" i="4"/>
  <c r="G203" i="4"/>
  <c r="I203" i="4"/>
  <c r="J203" i="4" s="1"/>
  <c r="F204" i="4" s="1"/>
  <c r="G204" i="4" l="1"/>
  <c r="I204" i="4" s="1"/>
  <c r="J204" i="4" s="1"/>
  <c r="F205" i="4" s="1"/>
  <c r="H204" i="4"/>
  <c r="H203" i="9"/>
  <c r="G203" i="9"/>
  <c r="I203" i="9" s="1"/>
  <c r="J203" i="9" s="1"/>
  <c r="F204" i="9" s="1"/>
  <c r="H203" i="8"/>
  <c r="G203" i="8"/>
  <c r="I203" i="8" s="1"/>
  <c r="J203" i="8" s="1"/>
  <c r="F204" i="8" s="1"/>
  <c r="G204" i="8" l="1"/>
  <c r="H204" i="8"/>
  <c r="I204" i="8" s="1"/>
  <c r="J204" i="8" s="1"/>
  <c r="F205" i="8" s="1"/>
  <c r="H204" i="9"/>
  <c r="G204" i="9"/>
  <c r="I204" i="9" s="1"/>
  <c r="J204" i="9" s="1"/>
  <c r="F205" i="9" s="1"/>
  <c r="G205" i="4"/>
  <c r="H205" i="4"/>
  <c r="J205" i="4"/>
  <c r="F206" i="4" s="1"/>
  <c r="I205" i="4"/>
  <c r="H205" i="9" l="1"/>
  <c r="G205" i="9"/>
  <c r="I205" i="9" s="1"/>
  <c r="J205" i="9" s="1"/>
  <c r="F206" i="9" s="1"/>
  <c r="G206" i="4"/>
  <c r="H206" i="4"/>
  <c r="I206" i="4" s="1"/>
  <c r="J206" i="4" s="1"/>
  <c r="F207" i="4" s="1"/>
  <c r="H205" i="8"/>
  <c r="G205" i="8"/>
  <c r="I205" i="8" s="1"/>
  <c r="J205" i="8" s="1"/>
  <c r="F206" i="8" s="1"/>
  <c r="H206" i="8" l="1"/>
  <c r="G206" i="8"/>
  <c r="I206" i="8" s="1"/>
  <c r="J206" i="8" s="1"/>
  <c r="F207" i="8" s="1"/>
  <c r="J207" i="4"/>
  <c r="F208" i="4" s="1"/>
  <c r="H207" i="4"/>
  <c r="G207" i="4"/>
  <c r="I207" i="4"/>
  <c r="H206" i="9"/>
  <c r="G206" i="9"/>
  <c r="I206" i="9" s="1"/>
  <c r="J206" i="9" s="1"/>
  <c r="F207" i="9" s="1"/>
  <c r="G208" i="4" l="1"/>
  <c r="H208" i="4"/>
  <c r="I208" i="4"/>
  <c r="J208" i="4" s="1"/>
  <c r="F209" i="4" s="1"/>
  <c r="G207" i="9"/>
  <c r="I207" i="9"/>
  <c r="J207" i="9" s="1"/>
  <c r="F208" i="9" s="1"/>
  <c r="H207" i="9"/>
  <c r="H207" i="8"/>
  <c r="G207" i="8"/>
  <c r="I207" i="8" s="1"/>
  <c r="J207" i="8" s="1"/>
  <c r="F208" i="8" s="1"/>
  <c r="G208" i="9" l="1"/>
  <c r="H208" i="9"/>
  <c r="I208" i="9" s="1"/>
  <c r="J208" i="9" s="1"/>
  <c r="F209" i="9" s="1"/>
  <c r="G208" i="8"/>
  <c r="I208" i="8" s="1"/>
  <c r="J208" i="8" s="1"/>
  <c r="F209" i="8" s="1"/>
  <c r="H208" i="8"/>
  <c r="H209" i="4"/>
  <c r="G209" i="4"/>
  <c r="I209" i="4" s="1"/>
  <c r="J209" i="4" s="1"/>
  <c r="F210" i="4" s="1"/>
  <c r="H209" i="8" l="1"/>
  <c r="G209" i="8"/>
  <c r="I209" i="8" s="1"/>
  <c r="J209" i="8" s="1"/>
  <c r="F210" i="8" s="1"/>
  <c r="H210" i="4"/>
  <c r="G210" i="4"/>
  <c r="I210" i="4" s="1"/>
  <c r="J210" i="4" s="1"/>
  <c r="F211" i="4" s="1"/>
  <c r="H209" i="9"/>
  <c r="G209" i="9"/>
  <c r="I209" i="9" s="1"/>
  <c r="J209" i="9" s="1"/>
  <c r="F210" i="9" s="1"/>
  <c r="H211" i="4" l="1"/>
  <c r="G211" i="4"/>
  <c r="I211" i="4" s="1"/>
  <c r="J211" i="4" s="1"/>
  <c r="F212" i="4" s="1"/>
  <c r="H210" i="9"/>
  <c r="G210" i="9"/>
  <c r="I210" i="9" s="1"/>
  <c r="J210" i="9" s="1"/>
  <c r="F211" i="9" s="1"/>
  <c r="H210" i="8"/>
  <c r="G210" i="8"/>
  <c r="I210" i="8"/>
  <c r="J210" i="8" s="1"/>
  <c r="F211" i="8" s="1"/>
  <c r="H211" i="9" l="1"/>
  <c r="G211" i="9"/>
  <c r="I211" i="9" s="1"/>
  <c r="J211" i="9" s="1"/>
  <c r="F212" i="9" s="1"/>
  <c r="G211" i="8"/>
  <c r="I211" i="8" s="1"/>
  <c r="J211" i="8" s="1"/>
  <c r="F212" i="8" s="1"/>
  <c r="H211" i="8"/>
  <c r="H212" i="4"/>
  <c r="G212" i="4"/>
  <c r="I212" i="4" s="1"/>
  <c r="J212" i="4" s="1"/>
  <c r="F213" i="4" s="1"/>
  <c r="H212" i="8" l="1"/>
  <c r="G212" i="8"/>
  <c r="I212" i="8"/>
  <c r="J212" i="8"/>
  <c r="F213" i="8" s="1"/>
  <c r="H213" i="4"/>
  <c r="G213" i="4"/>
  <c r="I213" i="4" s="1"/>
  <c r="J213" i="4" s="1"/>
  <c r="F214" i="4" s="1"/>
  <c r="G212" i="9"/>
  <c r="H212" i="9"/>
  <c r="I212" i="9" s="1"/>
  <c r="J212" i="9" s="1"/>
  <c r="F213" i="9" s="1"/>
  <c r="H214" i="4" l="1"/>
  <c r="G214" i="4"/>
  <c r="I214" i="4"/>
  <c r="J214" i="4" s="1"/>
  <c r="F215" i="4" s="1"/>
  <c r="G213" i="9"/>
  <c r="H213" i="9"/>
  <c r="I213" i="9" s="1"/>
  <c r="J213" i="9" s="1"/>
  <c r="F214" i="9" s="1"/>
  <c r="H213" i="8"/>
  <c r="G213" i="8"/>
  <c r="I213" i="8" s="1"/>
  <c r="J213" i="8" s="1"/>
  <c r="F214" i="8" s="1"/>
  <c r="H214" i="9" l="1"/>
  <c r="G214" i="9"/>
  <c r="J214" i="9"/>
  <c r="F215" i="9" s="1"/>
  <c r="I214" i="9"/>
  <c r="I214" i="8"/>
  <c r="H214" i="8"/>
  <c r="G214" i="8"/>
  <c r="J214" i="8"/>
  <c r="F215" i="8" s="1"/>
  <c r="H215" i="4"/>
  <c r="G215" i="4"/>
  <c r="I215" i="4" s="1"/>
  <c r="J215" i="4" s="1"/>
  <c r="F216" i="4" s="1"/>
  <c r="H215" i="8" l="1"/>
  <c r="G215" i="8"/>
  <c r="I215" i="8" s="1"/>
  <c r="J215" i="8" s="1"/>
  <c r="F216" i="8" s="1"/>
  <c r="H216" i="4"/>
  <c r="G216" i="4"/>
  <c r="I216" i="4" s="1"/>
  <c r="J216" i="4" s="1"/>
  <c r="F217" i="4" s="1"/>
  <c r="H215" i="9"/>
  <c r="G215" i="9"/>
  <c r="I215" i="9" s="1"/>
  <c r="J215" i="9" s="1"/>
  <c r="F216" i="9" s="1"/>
  <c r="H217" i="4" l="1"/>
  <c r="G217" i="4"/>
  <c r="I217" i="4"/>
  <c r="J217" i="4" s="1"/>
  <c r="F218" i="4" s="1"/>
  <c r="H216" i="9"/>
  <c r="G216" i="9"/>
  <c r="I216" i="9" s="1"/>
  <c r="J216" i="9" s="1"/>
  <c r="F217" i="9" s="1"/>
  <c r="G216" i="8"/>
  <c r="H216" i="8"/>
  <c r="I216" i="8" s="1"/>
  <c r="J216" i="8" s="1"/>
  <c r="F217" i="8" s="1"/>
  <c r="H217" i="9" l="1"/>
  <c r="G217" i="9"/>
  <c r="I217" i="9" s="1"/>
  <c r="J217" i="9" s="1"/>
  <c r="F218" i="9" s="1"/>
  <c r="I217" i="8"/>
  <c r="J217" i="8" s="1"/>
  <c r="F218" i="8" s="1"/>
  <c r="G217" i="8"/>
  <c r="H217" i="8"/>
  <c r="I218" i="4"/>
  <c r="J218" i="4" s="1"/>
  <c r="F219" i="4" s="1"/>
  <c r="H218" i="4"/>
  <c r="G218" i="4"/>
  <c r="H218" i="8" l="1"/>
  <c r="G218" i="8"/>
  <c r="I218" i="8" s="1"/>
  <c r="J218" i="8" s="1"/>
  <c r="F219" i="8" s="1"/>
  <c r="H219" i="4"/>
  <c r="G219" i="4"/>
  <c r="I219" i="4" s="1"/>
  <c r="J219" i="4" s="1"/>
  <c r="F220" i="4" s="1"/>
  <c r="I218" i="9"/>
  <c r="J218" i="9" s="1"/>
  <c r="F219" i="9" s="1"/>
  <c r="G218" i="9"/>
  <c r="H218" i="9"/>
  <c r="H220" i="4" l="1"/>
  <c r="G220" i="4"/>
  <c r="I220" i="4" s="1"/>
  <c r="J220" i="4" s="1"/>
  <c r="F221" i="4" s="1"/>
  <c r="H219" i="9"/>
  <c r="G219" i="9"/>
  <c r="I219" i="9" s="1"/>
  <c r="J219" i="9" s="1"/>
  <c r="F220" i="9" s="1"/>
  <c r="H219" i="8"/>
  <c r="G219" i="8"/>
  <c r="I219" i="8" s="1"/>
  <c r="J219" i="8" s="1"/>
  <c r="F220" i="8" s="1"/>
  <c r="G220" i="9" l="1"/>
  <c r="H220" i="9"/>
  <c r="I220" i="9" s="1"/>
  <c r="J220" i="9" s="1"/>
  <c r="F221" i="9" s="1"/>
  <c r="H220" i="8"/>
  <c r="G220" i="8"/>
  <c r="I220" i="8" s="1"/>
  <c r="J220" i="8" s="1"/>
  <c r="F221" i="8" s="1"/>
  <c r="H221" i="4"/>
  <c r="G221" i="4"/>
  <c r="I221" i="4" s="1"/>
  <c r="J221" i="4" s="1"/>
  <c r="F222" i="4" s="1"/>
  <c r="H221" i="8" l="1"/>
  <c r="G221" i="8"/>
  <c r="I221" i="8" s="1"/>
  <c r="J221" i="8" s="1"/>
  <c r="F222" i="8" s="1"/>
  <c r="H222" i="4"/>
  <c r="I222" i="4" s="1"/>
  <c r="J222" i="4" s="1"/>
  <c r="F223" i="4" s="1"/>
  <c r="G222" i="4"/>
  <c r="H221" i="9"/>
  <c r="G221" i="9"/>
  <c r="I221" i="9" s="1"/>
  <c r="J221" i="9" s="1"/>
  <c r="F222" i="9" s="1"/>
  <c r="G223" i="4" l="1"/>
  <c r="H223" i="4"/>
  <c r="I223" i="4" s="1"/>
  <c r="J223" i="4" s="1"/>
  <c r="F224" i="4" s="1"/>
  <c r="H222" i="9"/>
  <c r="G222" i="9"/>
  <c r="I222" i="9" s="1"/>
  <c r="J222" i="9" s="1"/>
  <c r="F223" i="9" s="1"/>
  <c r="H222" i="8"/>
  <c r="G222" i="8"/>
  <c r="I222" i="8" s="1"/>
  <c r="J222" i="8" s="1"/>
  <c r="F223" i="8" s="1"/>
  <c r="H223" i="9" l="1"/>
  <c r="G223" i="9"/>
  <c r="I223" i="9" s="1"/>
  <c r="J223" i="9" s="1"/>
  <c r="F224" i="9" s="1"/>
  <c r="H223" i="8"/>
  <c r="I223" i="8" s="1"/>
  <c r="J223" i="8" s="1"/>
  <c r="F224" i="8" s="1"/>
  <c r="G223" i="8"/>
  <c r="H224" i="4"/>
  <c r="G224" i="4"/>
  <c r="I224" i="4" s="1"/>
  <c r="J224" i="4" s="1"/>
  <c r="F225" i="4" s="1"/>
  <c r="H225" i="4" l="1"/>
  <c r="G225" i="4"/>
  <c r="I225" i="4"/>
  <c r="J225" i="4" s="1"/>
  <c r="F226" i="4" s="1"/>
  <c r="G224" i="8"/>
  <c r="H224" i="8"/>
  <c r="I224" i="8" s="1"/>
  <c r="J224" i="8" s="1"/>
  <c r="F225" i="8" s="1"/>
  <c r="G224" i="9"/>
  <c r="I224" i="9" s="1"/>
  <c r="J224" i="9" s="1"/>
  <c r="F225" i="9" s="1"/>
  <c r="H224" i="9"/>
  <c r="H225" i="8" l="1"/>
  <c r="G225" i="8"/>
  <c r="I225" i="8" s="1"/>
  <c r="J225" i="8" s="1"/>
  <c r="F226" i="8" s="1"/>
  <c r="G225" i="9"/>
  <c r="H225" i="9"/>
  <c r="I225" i="9" s="1"/>
  <c r="J225" i="9" s="1"/>
  <c r="F226" i="9" s="1"/>
  <c r="H226" i="4"/>
  <c r="G226" i="4"/>
  <c r="I226" i="4" s="1"/>
  <c r="J226" i="4" s="1"/>
  <c r="F227" i="4" s="1"/>
  <c r="G227" i="4" l="1"/>
  <c r="I227" i="4" s="1"/>
  <c r="J227" i="4" s="1"/>
  <c r="F228" i="4" s="1"/>
  <c r="H227" i="4"/>
  <c r="H226" i="9"/>
  <c r="G226" i="9"/>
  <c r="I226" i="9" s="1"/>
  <c r="J226" i="9" s="1"/>
  <c r="F227" i="9" s="1"/>
  <c r="H226" i="8"/>
  <c r="G226" i="8"/>
  <c r="I226" i="8" s="1"/>
  <c r="J226" i="8" s="1"/>
  <c r="F227" i="8" s="1"/>
  <c r="G227" i="8" l="1"/>
  <c r="I227" i="8" s="1"/>
  <c r="J227" i="8" s="1"/>
  <c r="F228" i="8" s="1"/>
  <c r="H227" i="8"/>
  <c r="G227" i="9"/>
  <c r="I227" i="9" s="1"/>
  <c r="J227" i="9" s="1"/>
  <c r="F228" i="9" s="1"/>
  <c r="H227" i="9"/>
  <c r="H228" i="4"/>
  <c r="G228" i="4"/>
  <c r="I228" i="4" s="1"/>
  <c r="J228" i="4" s="1"/>
  <c r="F229" i="4" s="1"/>
  <c r="G228" i="9" l="1"/>
  <c r="I228" i="9" s="1"/>
  <c r="J228" i="9" s="1"/>
  <c r="F229" i="9" s="1"/>
  <c r="H228" i="9"/>
  <c r="G229" i="4"/>
  <c r="I229" i="4" s="1"/>
  <c r="J229" i="4" s="1"/>
  <c r="F230" i="4" s="1"/>
  <c r="H229" i="4"/>
  <c r="H228" i="8"/>
  <c r="G228" i="8"/>
  <c r="I228" i="8" s="1"/>
  <c r="J228" i="8" s="1"/>
  <c r="F229" i="8" s="1"/>
  <c r="H229" i="8" l="1"/>
  <c r="G229" i="8"/>
  <c r="I229" i="8"/>
  <c r="J229" i="8" s="1"/>
  <c r="F230" i="8" s="1"/>
  <c r="H230" i="4"/>
  <c r="G230" i="4"/>
  <c r="I230" i="4" s="1"/>
  <c r="J230" i="4" s="1"/>
  <c r="F231" i="4" s="1"/>
  <c r="G229" i="9"/>
  <c r="I229" i="9"/>
  <c r="J229" i="9" s="1"/>
  <c r="F230" i="9" s="1"/>
  <c r="H229" i="9"/>
  <c r="H231" i="4" l="1"/>
  <c r="G231" i="4"/>
  <c r="I231" i="4" s="1"/>
  <c r="J231" i="4" s="1"/>
  <c r="F232" i="4" s="1"/>
  <c r="G230" i="9"/>
  <c r="I230" i="9" s="1"/>
  <c r="J230" i="9" s="1"/>
  <c r="F231" i="9" s="1"/>
  <c r="H230" i="9"/>
  <c r="H230" i="8"/>
  <c r="G230" i="8"/>
  <c r="I230" i="8"/>
  <c r="J230" i="8"/>
  <c r="F231" i="8" s="1"/>
  <c r="H231" i="9" l="1"/>
  <c r="G231" i="9"/>
  <c r="I231" i="9" s="1"/>
  <c r="J231" i="9" s="1"/>
  <c r="F232" i="9" s="1"/>
  <c r="I231" i="8"/>
  <c r="J231" i="8" s="1"/>
  <c r="F232" i="8" s="1"/>
  <c r="H231" i="8"/>
  <c r="G231" i="8"/>
  <c r="H232" i="4"/>
  <c r="G232" i="4"/>
  <c r="I232" i="4"/>
  <c r="J232" i="4" s="1"/>
  <c r="F233" i="4" s="1"/>
  <c r="G232" i="8" l="1"/>
  <c r="I232" i="8" s="1"/>
  <c r="J232" i="8" s="1"/>
  <c r="F233" i="8" s="1"/>
  <c r="H232" i="8"/>
  <c r="G233" i="4"/>
  <c r="I233" i="4"/>
  <c r="J233" i="4" s="1"/>
  <c r="F234" i="4" s="1"/>
  <c r="H233" i="4"/>
  <c r="H232" i="9"/>
  <c r="G232" i="9"/>
  <c r="I232" i="9" s="1"/>
  <c r="J232" i="9" s="1"/>
  <c r="F233" i="9" s="1"/>
  <c r="G234" i="4" l="1"/>
  <c r="H234" i="4"/>
  <c r="I234" i="4" s="1"/>
  <c r="J234" i="4" s="1"/>
  <c r="F235" i="4" s="1"/>
  <c r="H233" i="9"/>
  <c r="I233" i="9"/>
  <c r="J233" i="9" s="1"/>
  <c r="F234" i="9" s="1"/>
  <c r="G233" i="9"/>
  <c r="G233" i="8"/>
  <c r="I233" i="8" s="1"/>
  <c r="J233" i="8" s="1"/>
  <c r="F234" i="8" s="1"/>
  <c r="H233" i="8"/>
  <c r="G234" i="9" l="1"/>
  <c r="H234" i="9"/>
  <c r="I234" i="9" s="1"/>
  <c r="J234" i="9" s="1"/>
  <c r="F235" i="9" s="1"/>
  <c r="H234" i="8"/>
  <c r="I234" i="8" s="1"/>
  <c r="J234" i="8" s="1"/>
  <c r="F235" i="8" s="1"/>
  <c r="G234" i="8"/>
  <c r="H235" i="4"/>
  <c r="G235" i="4"/>
  <c r="I235" i="4"/>
  <c r="J235" i="4" s="1"/>
  <c r="F236" i="4" s="1"/>
  <c r="G235" i="8" l="1"/>
  <c r="I235" i="8" s="1"/>
  <c r="J235" i="8" s="1"/>
  <c r="F236" i="8" s="1"/>
  <c r="H235" i="8"/>
  <c r="G236" i="4"/>
  <c r="H236" i="4"/>
  <c r="I236" i="4" s="1"/>
  <c r="J236" i="4" s="1"/>
  <c r="F237" i="4" s="1"/>
  <c r="G235" i="9"/>
  <c r="H235" i="9"/>
  <c r="I235" i="9" s="1"/>
  <c r="J235" i="9" s="1"/>
  <c r="F236" i="9" s="1"/>
  <c r="H236" i="9" l="1"/>
  <c r="G236" i="9"/>
  <c r="I236" i="9" s="1"/>
  <c r="J236" i="9" s="1"/>
  <c r="F237" i="9" s="1"/>
  <c r="G237" i="4"/>
  <c r="H237" i="4"/>
  <c r="J237" i="4"/>
  <c r="F238" i="4" s="1"/>
  <c r="I237" i="4"/>
  <c r="H236" i="8"/>
  <c r="G236" i="8"/>
  <c r="I236" i="8" s="1"/>
  <c r="J236" i="8" s="1"/>
  <c r="F237" i="8" s="1"/>
  <c r="G237" i="8" l="1"/>
  <c r="H237" i="8"/>
  <c r="I237" i="8" s="1"/>
  <c r="J237" i="8" s="1"/>
  <c r="F238" i="8" s="1"/>
  <c r="H238" i="4"/>
  <c r="G238" i="4"/>
  <c r="I238" i="4" s="1"/>
  <c r="J238" i="4" s="1"/>
  <c r="F239" i="4" s="1"/>
  <c r="G237" i="9"/>
  <c r="I237" i="9" s="1"/>
  <c r="J237" i="9" s="1"/>
  <c r="F238" i="9" s="1"/>
  <c r="H237" i="9"/>
  <c r="H238" i="9" l="1"/>
  <c r="G238" i="9"/>
  <c r="I238" i="9" s="1"/>
  <c r="J238" i="9" s="1"/>
  <c r="F239" i="9" s="1"/>
  <c r="H239" i="4"/>
  <c r="G239" i="4"/>
  <c r="I239" i="4" s="1"/>
  <c r="J239" i="4" s="1"/>
  <c r="F240" i="4" s="1"/>
  <c r="I238" i="8"/>
  <c r="J238" i="8" s="1"/>
  <c r="F239" i="8" s="1"/>
  <c r="H238" i="8"/>
  <c r="G238" i="8"/>
  <c r="H240" i="4" l="1"/>
  <c r="G240" i="4"/>
  <c r="I240" i="4" s="1"/>
  <c r="J240" i="4" s="1"/>
  <c r="F241" i="4" s="1"/>
  <c r="H239" i="8"/>
  <c r="G239" i="8"/>
  <c r="I239" i="8"/>
  <c r="J239" i="8" s="1"/>
  <c r="F240" i="8" s="1"/>
  <c r="G239" i="9"/>
  <c r="I239" i="9" s="1"/>
  <c r="J239" i="9" s="1"/>
  <c r="F240" i="9" s="1"/>
  <c r="H239" i="9"/>
  <c r="H240" i="8" l="1"/>
  <c r="G240" i="8"/>
  <c r="I240" i="8" s="1"/>
  <c r="J240" i="8" s="1"/>
  <c r="F241" i="8" s="1"/>
  <c r="H240" i="9"/>
  <c r="G240" i="9"/>
  <c r="I240" i="9" s="1"/>
  <c r="J240" i="9" s="1"/>
  <c r="F241" i="9" s="1"/>
  <c r="G241" i="4"/>
  <c r="H241" i="4"/>
  <c r="I241" i="4" s="1"/>
  <c r="J241" i="4" s="1"/>
  <c r="F242" i="4" s="1"/>
  <c r="G241" i="9" l="1"/>
  <c r="I241" i="9" s="1"/>
  <c r="J241" i="9" s="1"/>
  <c r="F242" i="9" s="1"/>
  <c r="H241" i="9"/>
  <c r="I242" i="4"/>
  <c r="J242" i="4" s="1"/>
  <c r="F243" i="4" s="1"/>
  <c r="H242" i="4"/>
  <c r="G242" i="4"/>
  <c r="G241" i="8"/>
  <c r="I241" i="8" s="1"/>
  <c r="J241" i="8" s="1"/>
  <c r="F242" i="8" s="1"/>
  <c r="H241" i="8"/>
  <c r="G243" i="4" l="1"/>
  <c r="H243" i="4"/>
  <c r="I243" i="4" s="1"/>
  <c r="J243" i="4" s="1"/>
  <c r="F244" i="4" s="1"/>
  <c r="H242" i="8"/>
  <c r="G242" i="8"/>
  <c r="I242" i="8" s="1"/>
  <c r="J242" i="8" s="1"/>
  <c r="F243" i="8" s="1"/>
  <c r="H242" i="9"/>
  <c r="G242" i="9"/>
  <c r="I242" i="9" s="1"/>
  <c r="J242" i="9" s="1"/>
  <c r="F243" i="9" s="1"/>
  <c r="G243" i="8" l="1"/>
  <c r="I243" i="8" s="1"/>
  <c r="J243" i="8" s="1"/>
  <c r="F244" i="8" s="1"/>
  <c r="H243" i="8"/>
  <c r="H243" i="9"/>
  <c r="G243" i="9"/>
  <c r="I243" i="9" s="1"/>
  <c r="J243" i="9" s="1"/>
  <c r="F244" i="9" s="1"/>
  <c r="H244" i="4"/>
  <c r="G244" i="4"/>
  <c r="I244" i="4" s="1"/>
  <c r="J244" i="4" s="1"/>
  <c r="F245" i="4" s="1"/>
  <c r="H244" i="9" l="1"/>
  <c r="G244" i="9"/>
  <c r="I244" i="9" s="1"/>
  <c r="J244" i="9" s="1"/>
  <c r="F245" i="9" s="1"/>
  <c r="H245" i="4"/>
  <c r="G245" i="4"/>
  <c r="I245" i="4" s="1"/>
  <c r="J245" i="4" s="1"/>
  <c r="F246" i="4" s="1"/>
  <c r="H244" i="8"/>
  <c r="G244" i="8"/>
  <c r="I244" i="8" s="1"/>
  <c r="J244" i="8" s="1"/>
  <c r="F245" i="8" s="1"/>
  <c r="H245" i="8" l="1"/>
  <c r="G245" i="8"/>
  <c r="I245" i="8" s="1"/>
  <c r="J245" i="8" s="1"/>
  <c r="F246" i="8" s="1"/>
  <c r="H246" i="4"/>
  <c r="G246" i="4"/>
  <c r="I246" i="4" s="1"/>
  <c r="J246" i="4" s="1"/>
  <c r="F247" i="4" s="1"/>
  <c r="G245" i="9"/>
  <c r="I245" i="9" s="1"/>
  <c r="J245" i="9" s="1"/>
  <c r="F246" i="9" s="1"/>
  <c r="H245" i="9"/>
  <c r="H247" i="4" l="1"/>
  <c r="G247" i="4"/>
  <c r="I247" i="4" s="1"/>
  <c r="J247" i="4" s="1"/>
  <c r="F248" i="4" s="1"/>
  <c r="G246" i="9"/>
  <c r="I246" i="9" s="1"/>
  <c r="J246" i="9" s="1"/>
  <c r="F247" i="9" s="1"/>
  <c r="H246" i="9"/>
  <c r="H246" i="8"/>
  <c r="G246" i="8"/>
  <c r="I246" i="8" s="1"/>
  <c r="J246" i="8" s="1"/>
  <c r="F247" i="8" s="1"/>
  <c r="G247" i="8" l="1"/>
  <c r="H247" i="8"/>
  <c r="I247" i="8"/>
  <c r="J247" i="8" s="1"/>
  <c r="F248" i="8" s="1"/>
  <c r="H247" i="9"/>
  <c r="G247" i="9"/>
  <c r="I247" i="9"/>
  <c r="J247" i="9" s="1"/>
  <c r="F248" i="9" s="1"/>
  <c r="I248" i="4"/>
  <c r="J248" i="4" s="1"/>
  <c r="F249" i="4" s="1"/>
  <c r="H248" i="4"/>
  <c r="G248" i="4"/>
  <c r="I248" i="9" l="1"/>
  <c r="J248" i="9" s="1"/>
  <c r="F249" i="9" s="1"/>
  <c r="G248" i="9"/>
  <c r="H248" i="9"/>
  <c r="I249" i="4"/>
  <c r="J249" i="4"/>
  <c r="F250" i="4" s="1"/>
  <c r="H249" i="4"/>
  <c r="G249" i="4"/>
  <c r="H248" i="8"/>
  <c r="G248" i="8"/>
  <c r="I248" i="8" s="1"/>
  <c r="J248" i="8" s="1"/>
  <c r="F249" i="8" s="1"/>
  <c r="H250" i="4" l="1"/>
  <c r="G250" i="4"/>
  <c r="I250" i="4"/>
  <c r="J250" i="4" s="1"/>
  <c r="F251" i="4" s="1"/>
  <c r="G249" i="8"/>
  <c r="I249" i="8"/>
  <c r="J249" i="8" s="1"/>
  <c r="F250" i="8" s="1"/>
  <c r="H249" i="8"/>
  <c r="H249" i="9"/>
  <c r="G249" i="9"/>
  <c r="I249" i="9" s="1"/>
  <c r="J249" i="9" s="1"/>
  <c r="F250" i="9" s="1"/>
  <c r="H250" i="8" l="1"/>
  <c r="G250" i="8"/>
  <c r="I250" i="8" s="1"/>
  <c r="J250" i="8" s="1"/>
  <c r="F251" i="8" s="1"/>
  <c r="I250" i="9"/>
  <c r="J250" i="9" s="1"/>
  <c r="F251" i="9" s="1"/>
  <c r="H250" i="9"/>
  <c r="G250" i="9"/>
  <c r="H251" i="4"/>
  <c r="G251" i="4"/>
  <c r="I251" i="4" s="1"/>
  <c r="J251" i="4" s="1"/>
  <c r="F252" i="4" s="1"/>
  <c r="I251" i="9" l="1"/>
  <c r="J251" i="9" s="1"/>
  <c r="F252" i="9" s="1"/>
  <c r="G251" i="9"/>
  <c r="H251" i="9"/>
  <c r="H252" i="4"/>
  <c r="G252" i="4"/>
  <c r="I252" i="4" s="1"/>
  <c r="J252" i="4" s="1"/>
  <c r="F253" i="4" s="1"/>
  <c r="H251" i="8"/>
  <c r="G251" i="8"/>
  <c r="I251" i="8" s="1"/>
  <c r="J251" i="8" s="1"/>
  <c r="F252" i="8" s="1"/>
  <c r="G253" i="4" l="1"/>
  <c r="I253" i="4" s="1"/>
  <c r="J253" i="4" s="1"/>
  <c r="F254" i="4" s="1"/>
  <c r="H253" i="4"/>
  <c r="G252" i="8"/>
  <c r="H252" i="8"/>
  <c r="I252" i="8" s="1"/>
  <c r="J252" i="8" s="1"/>
  <c r="F253" i="8" s="1"/>
  <c r="H252" i="9"/>
  <c r="G252" i="9"/>
  <c r="I252" i="9" s="1"/>
  <c r="J252" i="9" s="1"/>
  <c r="F253" i="9" s="1"/>
  <c r="H253" i="9" l="1"/>
  <c r="G253" i="9"/>
  <c r="I253" i="9" s="1"/>
  <c r="J253" i="9" s="1"/>
  <c r="F254" i="9" s="1"/>
  <c r="H253" i="8"/>
  <c r="G253" i="8"/>
  <c r="I253" i="8" s="1"/>
  <c r="J253" i="8" s="1"/>
  <c r="F254" i="8" s="1"/>
  <c r="H254" i="4"/>
  <c r="G254" i="4"/>
  <c r="I254" i="4" s="1"/>
  <c r="J254" i="4" s="1"/>
  <c r="F255" i="4" s="1"/>
  <c r="H254" i="8" l="1"/>
  <c r="G254" i="8"/>
  <c r="I254" i="8"/>
  <c r="J254" i="8" s="1"/>
  <c r="F255" i="8" s="1"/>
  <c r="I255" i="4"/>
  <c r="J255" i="4" s="1"/>
  <c r="F256" i="4" s="1"/>
  <c r="H255" i="4"/>
  <c r="G255" i="4"/>
  <c r="G254" i="9"/>
  <c r="H254" i="9"/>
  <c r="I254" i="9" s="1"/>
  <c r="J254" i="9" s="1"/>
  <c r="F255" i="9" s="1"/>
  <c r="H255" i="9" l="1"/>
  <c r="G255" i="9"/>
  <c r="I255" i="9" s="1"/>
  <c r="J255" i="9" s="1"/>
  <c r="F256" i="9" s="1"/>
  <c r="H256" i="4"/>
  <c r="I256" i="4"/>
  <c r="J256" i="4" s="1"/>
  <c r="F257" i="4" s="1"/>
  <c r="G256" i="4"/>
  <c r="H255" i="8"/>
  <c r="G255" i="8"/>
  <c r="I255" i="8" s="1"/>
  <c r="J255" i="8" s="1"/>
  <c r="F256" i="8" s="1"/>
  <c r="H256" i="8" l="1"/>
  <c r="G256" i="8"/>
  <c r="I256" i="8" s="1"/>
  <c r="J256" i="8" s="1"/>
  <c r="F257" i="8" s="1"/>
  <c r="I257" i="4"/>
  <c r="J257" i="4" s="1"/>
  <c r="F258" i="4" s="1"/>
  <c r="H257" i="4"/>
  <c r="G257" i="4"/>
  <c r="H256" i="9"/>
  <c r="G256" i="9"/>
  <c r="I256" i="9" s="1"/>
  <c r="J256" i="9" s="1"/>
  <c r="F257" i="9" s="1"/>
  <c r="G257" i="9" l="1"/>
  <c r="H257" i="9"/>
  <c r="I257" i="9" s="1"/>
  <c r="J257" i="9" s="1"/>
  <c r="F258" i="9" s="1"/>
  <c r="H258" i="4"/>
  <c r="G258" i="4"/>
  <c r="I258" i="4" s="1"/>
  <c r="J258" i="4" s="1"/>
  <c r="F259" i="4" s="1"/>
  <c r="G257" i="8"/>
  <c r="I257" i="8" s="1"/>
  <c r="J257" i="8" s="1"/>
  <c r="F258" i="8" s="1"/>
  <c r="H257" i="8"/>
  <c r="G258" i="8" l="1"/>
  <c r="H258" i="8"/>
  <c r="I258" i="8"/>
  <c r="J258" i="8" s="1"/>
  <c r="F259" i="8" s="1"/>
  <c r="H259" i="4"/>
  <c r="G259" i="4"/>
  <c r="I259" i="4" s="1"/>
  <c r="J259" i="4" s="1"/>
  <c r="F260" i="4" s="1"/>
  <c r="I258" i="9"/>
  <c r="J258" i="9" s="1"/>
  <c r="F259" i="9" s="1"/>
  <c r="H258" i="9"/>
  <c r="G258" i="9"/>
  <c r="H259" i="9" l="1"/>
  <c r="G259" i="9"/>
  <c r="I259" i="9" s="1"/>
  <c r="J259" i="9" s="1"/>
  <c r="F260" i="9" s="1"/>
  <c r="I260" i="4"/>
  <c r="J260" i="4" s="1"/>
  <c r="F261" i="4" s="1"/>
  <c r="G260" i="4"/>
  <c r="H260" i="4"/>
  <c r="I259" i="8"/>
  <c r="J259" i="8" s="1"/>
  <c r="F260" i="8" s="1"/>
  <c r="H259" i="8"/>
  <c r="G259" i="8"/>
  <c r="H260" i="8" l="1"/>
  <c r="G260" i="8"/>
  <c r="I260" i="8" s="1"/>
  <c r="J260" i="8" s="1"/>
  <c r="F261" i="8" s="1"/>
  <c r="H261" i="4"/>
  <c r="I261" i="4" s="1"/>
  <c r="J261" i="4" s="1"/>
  <c r="F262" i="4" s="1"/>
  <c r="G261" i="4"/>
  <c r="H260" i="9"/>
  <c r="G260" i="9"/>
  <c r="I260" i="9" s="1"/>
  <c r="J260" i="9" s="1"/>
  <c r="F261" i="9" s="1"/>
  <c r="G261" i="9" l="1"/>
  <c r="H261" i="9"/>
  <c r="I261" i="9" s="1"/>
  <c r="J261" i="9" s="1"/>
  <c r="F262" i="9" s="1"/>
  <c r="H262" i="4"/>
  <c r="G262" i="4"/>
  <c r="I262" i="4" s="1"/>
  <c r="J262" i="4" s="1"/>
  <c r="F263" i="4" s="1"/>
  <c r="I261" i="8"/>
  <c r="J261" i="8" s="1"/>
  <c r="F262" i="8" s="1"/>
  <c r="G261" i="8"/>
  <c r="H261" i="8"/>
  <c r="H262" i="8" l="1"/>
  <c r="G262" i="8"/>
  <c r="I262" i="8"/>
  <c r="J262" i="8" s="1"/>
  <c r="F263" i="8" s="1"/>
  <c r="H263" i="4"/>
  <c r="G263" i="4"/>
  <c r="I263" i="4" s="1"/>
  <c r="J263" i="4" s="1"/>
  <c r="F264" i="4" s="1"/>
  <c r="H262" i="9"/>
  <c r="G262" i="9"/>
  <c r="I262" i="9" s="1"/>
  <c r="J262" i="9" s="1"/>
  <c r="F263" i="9" s="1"/>
  <c r="G263" i="9" l="1"/>
  <c r="I263" i="9" s="1"/>
  <c r="J263" i="9" s="1"/>
  <c r="F264" i="9" s="1"/>
  <c r="H263" i="9"/>
  <c r="H264" i="4"/>
  <c r="G264" i="4"/>
  <c r="I264" i="4" s="1"/>
  <c r="J264" i="4" s="1"/>
  <c r="F265" i="4" s="1"/>
  <c r="H263" i="8"/>
  <c r="G263" i="8"/>
  <c r="I263" i="8" s="1"/>
  <c r="J263" i="8" s="1"/>
  <c r="F264" i="8" s="1"/>
  <c r="G264" i="8" l="1"/>
  <c r="H264" i="8"/>
  <c r="I264" i="8" s="1"/>
  <c r="J264" i="8" s="1"/>
  <c r="F265" i="8" s="1"/>
  <c r="H265" i="4"/>
  <c r="G265" i="4"/>
  <c r="I265" i="4" s="1"/>
  <c r="J265" i="4" s="1"/>
  <c r="F266" i="4" s="1"/>
  <c r="H264" i="9"/>
  <c r="I264" i="9"/>
  <c r="J264" i="9" s="1"/>
  <c r="F265" i="9" s="1"/>
  <c r="G264" i="9"/>
  <c r="G265" i="9" l="1"/>
  <c r="H265" i="9"/>
  <c r="I265" i="9"/>
  <c r="J265" i="9" s="1"/>
  <c r="F266" i="9" s="1"/>
  <c r="H266" i="4"/>
  <c r="G266" i="4"/>
  <c r="I266" i="4" s="1"/>
  <c r="J266" i="4" s="1"/>
  <c r="F267" i="4" s="1"/>
  <c r="G265" i="8"/>
  <c r="I265" i="8" s="1"/>
  <c r="J265" i="8" s="1"/>
  <c r="F266" i="8" s="1"/>
  <c r="H265" i="8"/>
  <c r="G266" i="8" l="1"/>
  <c r="I266" i="8"/>
  <c r="J266" i="8" s="1"/>
  <c r="F267" i="8" s="1"/>
  <c r="H266" i="8"/>
  <c r="G267" i="4"/>
  <c r="I267" i="4" s="1"/>
  <c r="J267" i="4" s="1"/>
  <c r="F268" i="4" s="1"/>
  <c r="H267" i="4"/>
  <c r="H266" i="9"/>
  <c r="G266" i="9"/>
  <c r="I266" i="9"/>
  <c r="J266" i="9" s="1"/>
  <c r="F267" i="9" s="1"/>
  <c r="H268" i="4" l="1"/>
  <c r="G268" i="4"/>
  <c r="I268" i="4"/>
  <c r="J268" i="4" s="1"/>
  <c r="F269" i="4" s="1"/>
  <c r="I267" i="9"/>
  <c r="J267" i="9" s="1"/>
  <c r="F268" i="9" s="1"/>
  <c r="G267" i="9"/>
  <c r="H267" i="9"/>
  <c r="H267" i="8"/>
  <c r="G267" i="8"/>
  <c r="I267" i="8" s="1"/>
  <c r="J267" i="8" s="1"/>
  <c r="F268" i="8" s="1"/>
  <c r="H268" i="9" l="1"/>
  <c r="G268" i="9"/>
  <c r="I268" i="9" s="1"/>
  <c r="J268" i="9" s="1"/>
  <c r="F269" i="9" s="1"/>
  <c r="H268" i="8"/>
  <c r="I268" i="8"/>
  <c r="J268" i="8" s="1"/>
  <c r="F269" i="8" s="1"/>
  <c r="G268" i="8"/>
  <c r="G269" i="4"/>
  <c r="I269" i="4" s="1"/>
  <c r="J269" i="4" s="1"/>
  <c r="F270" i="4" s="1"/>
  <c r="H269" i="4"/>
  <c r="H270" i="4" l="1"/>
  <c r="G270" i="4"/>
  <c r="I270" i="4" s="1"/>
  <c r="J270" i="4" s="1"/>
  <c r="F271" i="4" s="1"/>
  <c r="G269" i="8"/>
  <c r="H269" i="8"/>
  <c r="I269" i="8" s="1"/>
  <c r="J269" i="8" s="1"/>
  <c r="F270" i="8" s="1"/>
  <c r="I269" i="9"/>
  <c r="J269" i="9" s="1"/>
  <c r="F270" i="9" s="1"/>
  <c r="H269" i="9"/>
  <c r="G269" i="9"/>
  <c r="H270" i="9" l="1"/>
  <c r="I270" i="9" s="1"/>
  <c r="J270" i="9" s="1"/>
  <c r="F271" i="9" s="1"/>
  <c r="G270" i="9"/>
  <c r="H270" i="8"/>
  <c r="G270" i="8"/>
  <c r="I270" i="8" s="1"/>
  <c r="J270" i="8" s="1"/>
  <c r="F271" i="8" s="1"/>
  <c r="H271" i="4"/>
  <c r="I271" i="4" s="1"/>
  <c r="J271" i="4" s="1"/>
  <c r="F272" i="4" s="1"/>
  <c r="G271" i="4"/>
  <c r="G271" i="8" l="1"/>
  <c r="H271" i="8"/>
  <c r="I271" i="8" s="1"/>
  <c r="J271" i="8" s="1"/>
  <c r="F272" i="8" s="1"/>
  <c r="I272" i="4"/>
  <c r="J272" i="4" s="1"/>
  <c r="F273" i="4" s="1"/>
  <c r="H272" i="4"/>
  <c r="G272" i="4"/>
  <c r="G271" i="9"/>
  <c r="I271" i="9" s="1"/>
  <c r="J271" i="9" s="1"/>
  <c r="F272" i="9" s="1"/>
  <c r="H271" i="9"/>
  <c r="H273" i="4" l="1"/>
  <c r="I273" i="4" s="1"/>
  <c r="J273" i="4" s="1"/>
  <c r="F274" i="4" s="1"/>
  <c r="G273" i="4"/>
  <c r="H272" i="9"/>
  <c r="G272" i="9"/>
  <c r="I272" i="9" s="1"/>
  <c r="J272" i="9" s="1"/>
  <c r="F273" i="9" s="1"/>
  <c r="H272" i="8"/>
  <c r="G272" i="8"/>
  <c r="I272" i="8" s="1"/>
  <c r="J272" i="8" s="1"/>
  <c r="F273" i="8" s="1"/>
  <c r="H273" i="9" l="1"/>
  <c r="G273" i="9"/>
  <c r="I273" i="9" s="1"/>
  <c r="J273" i="9" s="1"/>
  <c r="F274" i="9" s="1"/>
  <c r="G273" i="8"/>
  <c r="I273" i="8" s="1"/>
  <c r="J273" i="8" s="1"/>
  <c r="F274" i="8" s="1"/>
  <c r="H273" i="8"/>
  <c r="G274" i="4"/>
  <c r="H274" i="4"/>
  <c r="I274" i="4"/>
  <c r="J274" i="4" s="1"/>
  <c r="F275" i="4" s="1"/>
  <c r="G275" i="4" l="1"/>
  <c r="H275" i="4"/>
  <c r="I275" i="4" s="1"/>
  <c r="J275" i="4" s="1"/>
  <c r="F276" i="4" s="1"/>
  <c r="H274" i="9"/>
  <c r="G274" i="9"/>
  <c r="I274" i="9" s="1"/>
  <c r="J274" i="9" s="1"/>
  <c r="F275" i="9" s="1"/>
  <c r="H274" i="8"/>
  <c r="G274" i="8"/>
  <c r="I274" i="8" s="1"/>
  <c r="J274" i="8" s="1"/>
  <c r="F275" i="8" s="1"/>
  <c r="G275" i="9" l="1"/>
  <c r="I275" i="9" s="1"/>
  <c r="J275" i="9" s="1"/>
  <c r="F276" i="9" s="1"/>
  <c r="H275" i="9"/>
  <c r="G275" i="8"/>
  <c r="I275" i="8" s="1"/>
  <c r="J275" i="8" s="1"/>
  <c r="F276" i="8" s="1"/>
  <c r="H275" i="8"/>
  <c r="H276" i="4"/>
  <c r="G276" i="4"/>
  <c r="I276" i="4" s="1"/>
  <c r="J276" i="4" s="1"/>
  <c r="F277" i="4" s="1"/>
  <c r="H276" i="8" l="1"/>
  <c r="G276" i="8"/>
  <c r="I276" i="8" s="1"/>
  <c r="J276" i="8" s="1"/>
  <c r="F277" i="8" s="1"/>
  <c r="G277" i="4"/>
  <c r="H277" i="4"/>
  <c r="I277" i="4" s="1"/>
  <c r="J277" i="4" s="1"/>
  <c r="F278" i="4" s="1"/>
  <c r="H276" i="9"/>
  <c r="G276" i="9"/>
  <c r="I276" i="9" s="1"/>
  <c r="J276" i="9" s="1"/>
  <c r="F277" i="9" s="1"/>
  <c r="G277" i="9" l="1"/>
  <c r="I277" i="9" s="1"/>
  <c r="J277" i="9" s="1"/>
  <c r="F278" i="9" s="1"/>
  <c r="H277" i="9"/>
  <c r="H278" i="4"/>
  <c r="G278" i="4"/>
  <c r="I278" i="4" s="1"/>
  <c r="J278" i="4" s="1"/>
  <c r="F279" i="4" s="1"/>
  <c r="H277" i="8"/>
  <c r="G277" i="8"/>
  <c r="I277" i="8"/>
  <c r="J277" i="8" s="1"/>
  <c r="F278" i="8" s="1"/>
  <c r="G278" i="8" l="1"/>
  <c r="H278" i="8"/>
  <c r="I278" i="8" s="1"/>
  <c r="J278" i="8" s="1"/>
  <c r="F279" i="8" s="1"/>
  <c r="H279" i="4"/>
  <c r="I279" i="4" s="1"/>
  <c r="J279" i="4" s="1"/>
  <c r="F280" i="4" s="1"/>
  <c r="G279" i="4"/>
  <c r="H278" i="9"/>
  <c r="G278" i="9"/>
  <c r="I278" i="9"/>
  <c r="J278" i="9" s="1"/>
  <c r="F279" i="9" s="1"/>
  <c r="H280" i="4" l="1"/>
  <c r="G280" i="4"/>
  <c r="I280" i="4" s="1"/>
  <c r="J280" i="4" s="1"/>
  <c r="F281" i="4" s="1"/>
  <c r="H279" i="9"/>
  <c r="G279" i="9"/>
  <c r="I279" i="9" s="1"/>
  <c r="J279" i="9" s="1"/>
  <c r="F280" i="9" s="1"/>
  <c r="G279" i="8"/>
  <c r="H279" i="8"/>
  <c r="I279" i="8" s="1"/>
  <c r="J279" i="8" s="1"/>
  <c r="F280" i="8" s="1"/>
  <c r="H280" i="9" l="1"/>
  <c r="G280" i="9"/>
  <c r="I280" i="9" s="1"/>
  <c r="J280" i="9" s="1"/>
  <c r="F281" i="9" s="1"/>
  <c r="G280" i="8"/>
  <c r="I280" i="8" s="1"/>
  <c r="J280" i="8" s="1"/>
  <c r="F281" i="8" s="1"/>
  <c r="H280" i="8"/>
  <c r="H281" i="4"/>
  <c r="G281" i="4"/>
  <c r="I281" i="4" s="1"/>
  <c r="J281" i="4" s="1"/>
  <c r="F282" i="4" s="1"/>
  <c r="H281" i="8" l="1"/>
  <c r="G281" i="8"/>
  <c r="I281" i="8" s="1"/>
  <c r="J281" i="8" s="1"/>
  <c r="F282" i="8" s="1"/>
  <c r="H282" i="4"/>
  <c r="G282" i="4"/>
  <c r="I282" i="4" s="1"/>
  <c r="J282" i="4" s="1"/>
  <c r="F283" i="4" s="1"/>
  <c r="H281" i="9"/>
  <c r="G281" i="9"/>
  <c r="I281" i="9" s="1"/>
  <c r="J281" i="9" s="1"/>
  <c r="F282" i="9" s="1"/>
  <c r="H283" i="4" l="1"/>
  <c r="G283" i="4"/>
  <c r="I283" i="4" s="1"/>
  <c r="J283" i="4" s="1"/>
  <c r="F284" i="4" s="1"/>
  <c r="I282" i="9"/>
  <c r="J282" i="9" s="1"/>
  <c r="F283" i="9" s="1"/>
  <c r="H282" i="9"/>
  <c r="G282" i="9"/>
  <c r="I282" i="8"/>
  <c r="J282" i="8" s="1"/>
  <c r="F283" i="8" s="1"/>
  <c r="H282" i="8"/>
  <c r="G282" i="8"/>
  <c r="G283" i="9" l="1"/>
  <c r="I283" i="9" s="1"/>
  <c r="J283" i="9" s="1"/>
  <c r="F284" i="9" s="1"/>
  <c r="H283" i="9"/>
  <c r="H283" i="8"/>
  <c r="G283" i="8"/>
  <c r="J283" i="8"/>
  <c r="F284" i="8" s="1"/>
  <c r="I283" i="8"/>
  <c r="G284" i="4"/>
  <c r="I284" i="4" s="1"/>
  <c r="J284" i="4" s="1"/>
  <c r="F285" i="4" s="1"/>
  <c r="H284" i="4"/>
  <c r="I285" i="4" l="1"/>
  <c r="H285" i="4"/>
  <c r="G285" i="4"/>
  <c r="J285" i="4"/>
  <c r="F286" i="4" s="1"/>
  <c r="G284" i="8"/>
  <c r="I284" i="8"/>
  <c r="J284" i="8" s="1"/>
  <c r="F285" i="8" s="1"/>
  <c r="H284" i="8"/>
  <c r="H284" i="9"/>
  <c r="I284" i="9"/>
  <c r="J284" i="9" s="1"/>
  <c r="F285" i="9" s="1"/>
  <c r="G284" i="9"/>
  <c r="H285" i="8" l="1"/>
  <c r="G285" i="8"/>
  <c r="I285" i="8" s="1"/>
  <c r="J285" i="8" s="1"/>
  <c r="F286" i="8" s="1"/>
  <c r="H285" i="9"/>
  <c r="G285" i="9"/>
  <c r="I285" i="9" s="1"/>
  <c r="J285" i="9" s="1"/>
  <c r="F286" i="9" s="1"/>
  <c r="I286" i="4"/>
  <c r="J286" i="4" s="1"/>
  <c r="F287" i="4" s="1"/>
  <c r="H286" i="4"/>
  <c r="G286" i="4"/>
  <c r="H286" i="8" l="1"/>
  <c r="G286" i="8"/>
  <c r="I286" i="8" s="1"/>
  <c r="J286" i="8" s="1"/>
  <c r="F287" i="8" s="1"/>
  <c r="H287" i="4"/>
  <c r="G287" i="4"/>
  <c r="I287" i="4"/>
  <c r="J287" i="4" s="1"/>
  <c r="F288" i="4" s="1"/>
  <c r="H286" i="9"/>
  <c r="G286" i="9"/>
  <c r="I286" i="9"/>
  <c r="J286" i="9" s="1"/>
  <c r="F287" i="9" s="1"/>
  <c r="H287" i="9" l="1"/>
  <c r="G287" i="9"/>
  <c r="I287" i="9" s="1"/>
  <c r="J287" i="9" s="1"/>
  <c r="F288" i="9" s="1"/>
  <c r="H288" i="4"/>
  <c r="G288" i="4"/>
  <c r="I288" i="4" s="1"/>
  <c r="J288" i="4" s="1"/>
  <c r="F289" i="4" s="1"/>
  <c r="I287" i="8"/>
  <c r="J287" i="8" s="1"/>
  <c r="F288" i="8" s="1"/>
  <c r="H287" i="8"/>
  <c r="G287" i="8"/>
  <c r="H288" i="8" l="1"/>
  <c r="G288" i="8"/>
  <c r="I288" i="8" s="1"/>
  <c r="J288" i="8" s="1"/>
  <c r="F289" i="8" s="1"/>
  <c r="G289" i="4"/>
  <c r="I289" i="4" s="1"/>
  <c r="J289" i="4" s="1"/>
  <c r="F290" i="4" s="1"/>
  <c r="H289" i="4"/>
  <c r="H288" i="9"/>
  <c r="G288" i="9"/>
  <c r="I288" i="9" s="1"/>
  <c r="J288" i="9" s="1"/>
  <c r="F289" i="9" s="1"/>
  <c r="H290" i="4" l="1"/>
  <c r="G290" i="4"/>
  <c r="I290" i="4"/>
  <c r="J290" i="4" s="1"/>
  <c r="F291" i="4" s="1"/>
  <c r="G289" i="9"/>
  <c r="I289" i="9"/>
  <c r="J289" i="9" s="1"/>
  <c r="F290" i="9" s="1"/>
  <c r="H289" i="9"/>
  <c r="I289" i="8"/>
  <c r="J289" i="8" s="1"/>
  <c r="F290" i="8" s="1"/>
  <c r="H289" i="8"/>
  <c r="G289" i="8"/>
  <c r="G290" i="9" l="1"/>
  <c r="H290" i="9"/>
  <c r="I290" i="9"/>
  <c r="J290" i="9" s="1"/>
  <c r="F291" i="9" s="1"/>
  <c r="H290" i="8"/>
  <c r="G290" i="8"/>
  <c r="I290" i="8" s="1"/>
  <c r="J290" i="8" s="1"/>
  <c r="F291" i="8" s="1"/>
  <c r="H291" i="4"/>
  <c r="G291" i="4"/>
  <c r="I291" i="4" s="1"/>
  <c r="J291" i="4" s="1"/>
  <c r="F292" i="4" s="1"/>
  <c r="G291" i="8" l="1"/>
  <c r="I291" i="8" s="1"/>
  <c r="J291" i="8" s="1"/>
  <c r="F292" i="8" s="1"/>
  <c r="H291" i="8"/>
  <c r="H292" i="4"/>
  <c r="G292" i="4"/>
  <c r="I292" i="4"/>
  <c r="J292" i="4" s="1"/>
  <c r="F293" i="4" s="1"/>
  <c r="H291" i="9"/>
  <c r="G291" i="9"/>
  <c r="I291" i="9" s="1"/>
  <c r="J291" i="9" s="1"/>
  <c r="F292" i="9" s="1"/>
  <c r="H292" i="9" l="1"/>
  <c r="G292" i="9"/>
  <c r="I292" i="9" s="1"/>
  <c r="J292" i="9" s="1"/>
  <c r="F293" i="9" s="1"/>
  <c r="I293" i="4"/>
  <c r="J293" i="4" s="1"/>
  <c r="F294" i="4" s="1"/>
  <c r="G293" i="4"/>
  <c r="H293" i="4"/>
  <c r="G292" i="8"/>
  <c r="H292" i="8"/>
  <c r="I292" i="8" s="1"/>
  <c r="J292" i="8" s="1"/>
  <c r="F293" i="8" s="1"/>
  <c r="H293" i="8" l="1"/>
  <c r="G293" i="8"/>
  <c r="I293" i="8"/>
  <c r="J293" i="8" s="1"/>
  <c r="F294" i="8" s="1"/>
  <c r="J294" i="4"/>
  <c r="F295" i="4" s="1"/>
  <c r="I294" i="4"/>
  <c r="H294" i="4"/>
  <c r="G294" i="4"/>
  <c r="H293" i="9"/>
  <c r="I293" i="9" s="1"/>
  <c r="J293" i="9" s="1"/>
  <c r="F294" i="9" s="1"/>
  <c r="G293" i="9"/>
  <c r="H294" i="9" l="1"/>
  <c r="G294" i="9"/>
  <c r="I294" i="9"/>
  <c r="J294" i="9" s="1"/>
  <c r="F295" i="9" s="1"/>
  <c r="H295" i="4"/>
  <c r="G295" i="4"/>
  <c r="I295" i="4" s="1"/>
  <c r="J295" i="4" s="1"/>
  <c r="F296" i="4" s="1"/>
  <c r="G294" i="8"/>
  <c r="H294" i="8"/>
  <c r="I294" i="8" s="1"/>
  <c r="J294" i="8" s="1"/>
  <c r="F295" i="8" s="1"/>
  <c r="G295" i="8" l="1"/>
  <c r="I295" i="8" s="1"/>
  <c r="J295" i="8" s="1"/>
  <c r="F296" i="8" s="1"/>
  <c r="H295" i="8"/>
  <c r="H296" i="4"/>
  <c r="G296" i="4"/>
  <c r="I296" i="4" s="1"/>
  <c r="J296" i="4" s="1"/>
  <c r="F297" i="4" s="1"/>
  <c r="G295" i="9"/>
  <c r="H295" i="9"/>
  <c r="I295" i="9" s="1"/>
  <c r="J295" i="9" s="1"/>
  <c r="F296" i="9" s="1"/>
  <c r="H296" i="9" l="1"/>
  <c r="G296" i="9"/>
  <c r="I296" i="9" s="1"/>
  <c r="J296" i="9" s="1"/>
  <c r="F297" i="9" s="1"/>
  <c r="G297" i="4"/>
  <c r="H297" i="4"/>
  <c r="I297" i="4" s="1"/>
  <c r="J297" i="4" s="1"/>
  <c r="F298" i="4" s="1"/>
  <c r="G296" i="8"/>
  <c r="H296" i="8"/>
  <c r="I296" i="8" s="1"/>
  <c r="J296" i="8" s="1"/>
  <c r="F297" i="8" s="1"/>
  <c r="G297" i="8" l="1"/>
  <c r="H297" i="8"/>
  <c r="I297" i="8" s="1"/>
  <c r="J297" i="8" s="1"/>
  <c r="F298" i="8" s="1"/>
  <c r="H297" i="9"/>
  <c r="G297" i="9"/>
  <c r="I297" i="9" s="1"/>
  <c r="J297" i="9" s="1"/>
  <c r="F298" i="9" s="1"/>
  <c r="H298" i="4"/>
  <c r="G298" i="4"/>
  <c r="I298" i="4" s="1"/>
  <c r="J298" i="4" s="1"/>
  <c r="F299" i="4" s="1"/>
  <c r="G298" i="9" l="1"/>
  <c r="H298" i="9"/>
  <c r="I298" i="9" s="1"/>
  <c r="J298" i="9" s="1"/>
  <c r="F299" i="9" s="1"/>
  <c r="G299" i="4"/>
  <c r="I299" i="4"/>
  <c r="J299" i="4" s="1"/>
  <c r="F300" i="4" s="1"/>
  <c r="H299" i="4"/>
  <c r="H298" i="8"/>
  <c r="G298" i="8"/>
  <c r="I298" i="8" s="1"/>
  <c r="J298" i="8" s="1"/>
  <c r="F299" i="8" s="1"/>
  <c r="H299" i="9" l="1"/>
  <c r="G299" i="9"/>
  <c r="I299" i="9" s="1"/>
  <c r="J299" i="9" s="1"/>
  <c r="F300" i="9" s="1"/>
  <c r="H299" i="8"/>
  <c r="G299" i="8"/>
  <c r="I299" i="8" s="1"/>
  <c r="J299" i="8" s="1"/>
  <c r="F300" i="8" s="1"/>
  <c r="G300" i="4"/>
  <c r="H300" i="4"/>
  <c r="I300" i="4" s="1"/>
  <c r="J300" i="4" s="1"/>
  <c r="F301" i="4" s="1"/>
  <c r="H300" i="8" l="1"/>
  <c r="G300" i="8"/>
  <c r="I300" i="8" s="1"/>
  <c r="J300" i="8" s="1"/>
  <c r="F301" i="8" s="1"/>
  <c r="G301" i="4"/>
  <c r="H301" i="4"/>
  <c r="I301" i="4" s="1"/>
  <c r="J301" i="4" s="1"/>
  <c r="F302" i="4" s="1"/>
  <c r="H300" i="9"/>
  <c r="G300" i="9"/>
  <c r="I300" i="9" s="1"/>
  <c r="J300" i="9" s="1"/>
  <c r="F301" i="9" s="1"/>
  <c r="H301" i="8" l="1"/>
  <c r="G301" i="8"/>
  <c r="I301" i="8" s="1"/>
  <c r="J301" i="8" s="1"/>
  <c r="F302" i="8" s="1"/>
  <c r="G301" i="9"/>
  <c r="H301" i="9"/>
  <c r="I301" i="9" s="1"/>
  <c r="J301" i="9" s="1"/>
  <c r="F302" i="9" s="1"/>
  <c r="H302" i="4"/>
  <c r="G302" i="4"/>
  <c r="I302" i="4" s="1"/>
  <c r="J302" i="4" s="1"/>
  <c r="F303" i="4" s="1"/>
  <c r="H302" i="9" l="1"/>
  <c r="G302" i="9"/>
  <c r="I302" i="9"/>
  <c r="J302" i="9" s="1"/>
  <c r="F303" i="9" s="1"/>
  <c r="H303" i="4"/>
  <c r="G303" i="4"/>
  <c r="I303" i="4" s="1"/>
  <c r="J303" i="4" s="1"/>
  <c r="F304" i="4" s="1"/>
  <c r="H302" i="8"/>
  <c r="G302" i="8"/>
  <c r="I302" i="8" s="1"/>
  <c r="J302" i="8" s="1"/>
  <c r="F303" i="8" s="1"/>
  <c r="G304" i="4" l="1"/>
  <c r="J304" i="4"/>
  <c r="I304" i="4"/>
  <c r="H304" i="4"/>
  <c r="F305" i="4"/>
  <c r="H303" i="8"/>
  <c r="G303" i="8"/>
  <c r="I303" i="8" s="1"/>
  <c r="J303" i="8" s="1"/>
  <c r="F304" i="8" s="1"/>
  <c r="H303" i="9"/>
  <c r="G303" i="9"/>
  <c r="I303" i="9" s="1"/>
  <c r="J303" i="9" s="1"/>
  <c r="F304" i="9" s="1"/>
  <c r="G304" i="9" l="1"/>
  <c r="I304" i="9" s="1"/>
  <c r="J304" i="9" s="1"/>
  <c r="F305" i="9" s="1"/>
  <c r="H304" i="9"/>
  <c r="H304" i="8"/>
  <c r="G304" i="8"/>
  <c r="I304" i="8" s="1"/>
  <c r="J304" i="8" s="1"/>
  <c r="F305" i="8" s="1"/>
  <c r="G305" i="4"/>
  <c r="F306" i="4"/>
  <c r="J305" i="4"/>
  <c r="I305" i="4"/>
  <c r="H305" i="4"/>
  <c r="H305" i="8" l="1"/>
  <c r="G305" i="8"/>
  <c r="I305" i="8" s="1"/>
  <c r="J305" i="8" s="1"/>
  <c r="F306" i="8" s="1"/>
  <c r="G305" i="9"/>
  <c r="I305" i="9" s="1"/>
  <c r="J305" i="9" s="1"/>
  <c r="F306" i="9" s="1"/>
  <c r="H305" i="9"/>
  <c r="J306" i="4"/>
  <c r="H306" i="4"/>
  <c r="F307" i="4"/>
  <c r="I306" i="4"/>
  <c r="G306" i="4"/>
  <c r="G306" i="9" l="1"/>
  <c r="I306" i="9" s="1"/>
  <c r="J306" i="9" s="1"/>
  <c r="F307" i="9" s="1"/>
  <c r="H306" i="9"/>
  <c r="H306" i="8"/>
  <c r="G306" i="8"/>
  <c r="I306" i="8" s="1"/>
  <c r="J306" i="8" s="1"/>
  <c r="F307" i="8" s="1"/>
  <c r="I307" i="4"/>
  <c r="G307" i="4"/>
  <c r="F308" i="4"/>
  <c r="H307" i="4"/>
  <c r="J307" i="4"/>
  <c r="H307" i="8" l="1"/>
  <c r="G307" i="8"/>
  <c r="I307" i="8" s="1"/>
  <c r="J307" i="8" s="1"/>
  <c r="F308" i="8" s="1"/>
  <c r="G307" i="9"/>
  <c r="I307" i="9" s="1"/>
  <c r="J307" i="9" s="1"/>
  <c r="F308" i="9" s="1"/>
  <c r="H307" i="9"/>
  <c r="H308" i="4"/>
  <c r="F309" i="4"/>
  <c r="J308" i="4"/>
  <c r="I308" i="4"/>
  <c r="G308" i="4"/>
  <c r="H308" i="9" l="1"/>
  <c r="G308" i="9"/>
  <c r="I308" i="9" s="1"/>
  <c r="J308" i="9" s="1"/>
  <c r="F309" i="9" s="1"/>
  <c r="G308" i="8"/>
  <c r="I308" i="8" s="1"/>
  <c r="J308" i="8" s="1"/>
  <c r="F309" i="8" s="1"/>
  <c r="H308" i="8"/>
  <c r="I309" i="4"/>
  <c r="F310" i="4"/>
  <c r="J309" i="4"/>
  <c r="H309" i="4"/>
  <c r="G309" i="4"/>
  <c r="H309" i="8" l="1"/>
  <c r="G309" i="8"/>
  <c r="I309" i="8" s="1"/>
  <c r="J309" i="8" s="1"/>
  <c r="F310" i="8" s="1"/>
  <c r="G309" i="9"/>
  <c r="I309" i="9" s="1"/>
  <c r="J309" i="9" s="1"/>
  <c r="F310" i="9" s="1"/>
  <c r="H309" i="9"/>
  <c r="I310" i="4"/>
  <c r="F311" i="4"/>
  <c r="J310" i="4"/>
  <c r="H310" i="4"/>
  <c r="G310" i="4"/>
  <c r="H310" i="9" l="1"/>
  <c r="I310" i="9" s="1"/>
  <c r="J310" i="9" s="1"/>
  <c r="F311" i="9" s="1"/>
  <c r="G310" i="9"/>
  <c r="H310" i="8"/>
  <c r="G310" i="8"/>
  <c r="I310" i="8" s="1"/>
  <c r="J310" i="8" s="1"/>
  <c r="F311" i="8" s="1"/>
  <c r="H311" i="4"/>
  <c r="G311" i="4"/>
  <c r="F312" i="4"/>
  <c r="J311" i="4"/>
  <c r="I311" i="4"/>
  <c r="I311" i="8" l="1"/>
  <c r="J311" i="8" s="1"/>
  <c r="F312" i="8" s="1"/>
  <c r="H311" i="8"/>
  <c r="G311" i="8"/>
  <c r="H311" i="9"/>
  <c r="G311" i="9"/>
  <c r="I311" i="9" s="1"/>
  <c r="J311" i="9" s="1"/>
  <c r="F312" i="9" s="1"/>
  <c r="F313" i="4"/>
  <c r="H312" i="4"/>
  <c r="G312" i="4"/>
  <c r="J312" i="4"/>
  <c r="I312" i="4"/>
  <c r="G312" i="9" l="1"/>
  <c r="H312" i="9"/>
  <c r="I312" i="9" s="1"/>
  <c r="J312" i="9" s="1"/>
  <c r="F313" i="9" s="1"/>
  <c r="H312" i="8"/>
  <c r="I312" i="8" s="1"/>
  <c r="J312" i="8" s="1"/>
  <c r="F313" i="8" s="1"/>
  <c r="G312" i="8"/>
  <c r="F314" i="4"/>
  <c r="J313" i="4"/>
  <c r="H313" i="4"/>
  <c r="I313" i="4"/>
  <c r="G313" i="4"/>
  <c r="G313" i="8" l="1"/>
  <c r="I313" i="8" s="1"/>
  <c r="J313" i="8" s="1"/>
  <c r="F314" i="8" s="1"/>
  <c r="H313" i="8"/>
  <c r="H313" i="9"/>
  <c r="G313" i="9"/>
  <c r="I313" i="9" s="1"/>
  <c r="J313" i="9" s="1"/>
  <c r="F314" i="9" s="1"/>
  <c r="H314" i="4"/>
  <c r="G314" i="4"/>
  <c r="I314" i="4"/>
  <c r="F315" i="4"/>
  <c r="J314" i="4"/>
  <c r="H314" i="9" l="1"/>
  <c r="G314" i="9"/>
  <c r="I314" i="9"/>
  <c r="J314" i="9" s="1"/>
  <c r="F315" i="9" s="1"/>
  <c r="H314" i="8"/>
  <c r="G314" i="8"/>
  <c r="I314" i="8" s="1"/>
  <c r="J314" i="8" s="1"/>
  <c r="F315" i="8" s="1"/>
  <c r="F316" i="4"/>
  <c r="J315" i="4"/>
  <c r="I315" i="4"/>
  <c r="H315" i="4"/>
  <c r="G315" i="4"/>
  <c r="H315" i="8" l="1"/>
  <c r="G315" i="8"/>
  <c r="I315" i="8"/>
  <c r="J315" i="8" s="1"/>
  <c r="F316" i="8" s="1"/>
  <c r="H315" i="9"/>
  <c r="G315" i="9"/>
  <c r="I315" i="9" s="1"/>
  <c r="J315" i="9" s="1"/>
  <c r="F316" i="9" s="1"/>
  <c r="F317" i="4"/>
  <c r="G316" i="4"/>
  <c r="H316" i="4"/>
  <c r="J316" i="4"/>
  <c r="I316" i="4"/>
  <c r="H316" i="9" l="1"/>
  <c r="G316" i="9"/>
  <c r="I316" i="9" s="1"/>
  <c r="J316" i="9" s="1"/>
  <c r="F317" i="9" s="1"/>
  <c r="H316" i="8"/>
  <c r="G316" i="8"/>
  <c r="I316" i="8"/>
  <c r="J316" i="8" s="1"/>
  <c r="F317" i="8" s="1"/>
  <c r="J317" i="4"/>
  <c r="I317" i="4"/>
  <c r="H317" i="4"/>
  <c r="G317" i="4"/>
  <c r="F318" i="4"/>
  <c r="G317" i="8" l="1"/>
  <c r="H317" i="8"/>
  <c r="I317" i="8"/>
  <c r="J317" i="8" s="1"/>
  <c r="F318" i="8" s="1"/>
  <c r="H317" i="9"/>
  <c r="I317" i="9"/>
  <c r="J317" i="9" s="1"/>
  <c r="F318" i="9" s="1"/>
  <c r="G317" i="9"/>
  <c r="I318" i="4"/>
  <c r="H318" i="4"/>
  <c r="F319" i="4"/>
  <c r="J318" i="4"/>
  <c r="G318" i="4"/>
  <c r="G318" i="9" l="1"/>
  <c r="I318" i="9" s="1"/>
  <c r="J318" i="9" s="1"/>
  <c r="F319" i="9" s="1"/>
  <c r="H318" i="9"/>
  <c r="H318" i="8"/>
  <c r="G318" i="8"/>
  <c r="I318" i="8" s="1"/>
  <c r="J318" i="8" s="1"/>
  <c r="F319" i="8" s="1"/>
  <c r="F320" i="4"/>
  <c r="I319" i="4"/>
  <c r="H319" i="4"/>
  <c r="J319" i="4"/>
  <c r="G319" i="4"/>
  <c r="G319" i="8" l="1"/>
  <c r="H319" i="8"/>
  <c r="I319" i="8"/>
  <c r="J319" i="8" s="1"/>
  <c r="F320" i="8" s="1"/>
  <c r="G319" i="9"/>
  <c r="H319" i="9"/>
  <c r="I319" i="9" s="1"/>
  <c r="J319" i="9" s="1"/>
  <c r="F320" i="9" s="1"/>
  <c r="H320" i="4"/>
  <c r="I320" i="4"/>
  <c r="J320" i="4"/>
  <c r="G320" i="4"/>
  <c r="F321" i="4"/>
  <c r="H320" i="9" l="1"/>
  <c r="G320" i="9"/>
  <c r="I320" i="9" s="1"/>
  <c r="J320" i="9" s="1"/>
  <c r="F321" i="9" s="1"/>
  <c r="H320" i="8"/>
  <c r="G320" i="8"/>
  <c r="I320" i="8" s="1"/>
  <c r="J320" i="8" s="1"/>
  <c r="F321" i="8" s="1"/>
  <c r="F322" i="4"/>
  <c r="J321" i="4"/>
  <c r="I321" i="4"/>
  <c r="G321" i="4"/>
  <c r="H321" i="4"/>
  <c r="H321" i="8" l="1"/>
  <c r="G321" i="8"/>
  <c r="I321" i="8" s="1"/>
  <c r="J321" i="8" s="1"/>
  <c r="F322" i="8" s="1"/>
  <c r="H321" i="9"/>
  <c r="G321" i="9"/>
  <c r="I321" i="9" s="1"/>
  <c r="J321" i="9" s="1"/>
  <c r="F322" i="9" s="1"/>
  <c r="I322" i="4"/>
  <c r="H322" i="4"/>
  <c r="F323" i="4"/>
  <c r="G322" i="4"/>
  <c r="J322" i="4"/>
  <c r="I322" i="8" l="1"/>
  <c r="H322" i="8"/>
  <c r="G322" i="8"/>
  <c r="J322" i="8"/>
  <c r="F323" i="8" s="1"/>
  <c r="H322" i="9"/>
  <c r="G322" i="9"/>
  <c r="I322" i="9" s="1"/>
  <c r="J322" i="9" s="1"/>
  <c r="F323" i="9" s="1"/>
  <c r="I323" i="4"/>
  <c r="F324" i="4"/>
  <c r="H323" i="4"/>
  <c r="J323" i="4"/>
  <c r="G323" i="4"/>
  <c r="H323" i="9" l="1"/>
  <c r="G323" i="9"/>
  <c r="I323" i="9"/>
  <c r="J323" i="9"/>
  <c r="F324" i="9" s="1"/>
  <c r="G323" i="8"/>
  <c r="I323" i="8" s="1"/>
  <c r="J323" i="8" s="1"/>
  <c r="F324" i="8" s="1"/>
  <c r="H323" i="8"/>
  <c r="H324" i="4"/>
  <c r="G324" i="4"/>
  <c r="F325" i="4"/>
  <c r="J324" i="4"/>
  <c r="I324" i="4"/>
  <c r="H324" i="8" l="1"/>
  <c r="G324" i="8"/>
  <c r="I324" i="8" s="1"/>
  <c r="J324" i="8" s="1"/>
  <c r="F325" i="8" s="1"/>
  <c r="I324" i="9"/>
  <c r="J324" i="9" s="1"/>
  <c r="F325" i="9" s="1"/>
  <c r="H324" i="9"/>
  <c r="G324" i="9"/>
  <c r="J325" i="4"/>
  <c r="I325" i="4"/>
  <c r="F326" i="4"/>
  <c r="H325" i="4"/>
  <c r="G325" i="4"/>
  <c r="G325" i="9" l="1"/>
  <c r="I325" i="9" s="1"/>
  <c r="J325" i="9" s="1"/>
  <c r="F326" i="9" s="1"/>
  <c r="H325" i="9"/>
  <c r="H325" i="8"/>
  <c r="G325" i="8"/>
  <c r="I325" i="8"/>
  <c r="J325" i="8" s="1"/>
  <c r="F326" i="8" s="1"/>
  <c r="J326" i="4"/>
  <c r="F327" i="4"/>
  <c r="I326" i="4"/>
  <c r="G326" i="4"/>
  <c r="H326" i="4"/>
  <c r="H326" i="8" l="1"/>
  <c r="G326" i="8"/>
  <c r="I326" i="8" s="1"/>
  <c r="J326" i="8" s="1"/>
  <c r="F327" i="8" s="1"/>
  <c r="G326" i="9"/>
  <c r="I326" i="9" s="1"/>
  <c r="J326" i="9" s="1"/>
  <c r="F327" i="9" s="1"/>
  <c r="H326" i="9"/>
  <c r="G327" i="4"/>
  <c r="F328" i="4"/>
  <c r="J327" i="4"/>
  <c r="I327" i="4"/>
  <c r="H327" i="4"/>
  <c r="G327" i="9" l="1"/>
  <c r="I327" i="9" s="1"/>
  <c r="J327" i="9" s="1"/>
  <c r="F328" i="9" s="1"/>
  <c r="H327" i="9"/>
  <c r="G327" i="8"/>
  <c r="I327" i="8" s="1"/>
  <c r="J327" i="8" s="1"/>
  <c r="F328" i="8" s="1"/>
  <c r="H327" i="8"/>
  <c r="I328" i="4"/>
  <c r="H328" i="4"/>
  <c r="G328" i="4"/>
  <c r="F329" i="4"/>
  <c r="J328" i="4"/>
  <c r="G328" i="8" l="1"/>
  <c r="H328" i="8"/>
  <c r="I328" i="8"/>
  <c r="J328" i="8" s="1"/>
  <c r="F329" i="8" s="1"/>
  <c r="H328" i="9"/>
  <c r="G328" i="9"/>
  <c r="I328" i="9" s="1"/>
  <c r="J328" i="9" s="1"/>
  <c r="F329" i="9" s="1"/>
  <c r="F330" i="4"/>
  <c r="H329" i="4"/>
  <c r="J329" i="4"/>
  <c r="I329" i="4"/>
  <c r="G329" i="4"/>
  <c r="G329" i="9" l="1"/>
  <c r="H329" i="9"/>
  <c r="I329" i="9" s="1"/>
  <c r="J329" i="9" s="1"/>
  <c r="F330" i="9" s="1"/>
  <c r="H329" i="8"/>
  <c r="G329" i="8"/>
  <c r="I329" i="8" s="1"/>
  <c r="J329" i="8" s="1"/>
  <c r="F330" i="8" s="1"/>
  <c r="I330" i="4"/>
  <c r="H330" i="4"/>
  <c r="G330" i="4"/>
  <c r="J330" i="4"/>
  <c r="F331" i="4"/>
  <c r="H330" i="8" l="1"/>
  <c r="G330" i="8"/>
  <c r="I330" i="8" s="1"/>
  <c r="J330" i="8" s="1"/>
  <c r="F331" i="8" s="1"/>
  <c r="H330" i="9"/>
  <c r="G330" i="9"/>
  <c r="I330" i="9" s="1"/>
  <c r="J330" i="9" s="1"/>
  <c r="F331" i="9" s="1"/>
  <c r="H331" i="4"/>
  <c r="J331" i="4"/>
  <c r="G331" i="4"/>
  <c r="F332" i="4"/>
  <c r="I331" i="4"/>
  <c r="G331" i="9" l="1"/>
  <c r="H331" i="9"/>
  <c r="I331" i="9" s="1"/>
  <c r="J331" i="9" s="1"/>
  <c r="F332" i="9" s="1"/>
  <c r="G331" i="8"/>
  <c r="I331" i="8" s="1"/>
  <c r="J331" i="8" s="1"/>
  <c r="F332" i="8" s="1"/>
  <c r="H331" i="8"/>
  <c r="J332" i="4"/>
  <c r="F333" i="4"/>
  <c r="I332" i="4"/>
  <c r="H332" i="4"/>
  <c r="G332" i="4"/>
  <c r="H332" i="8" l="1"/>
  <c r="G332" i="8"/>
  <c r="I332" i="8" s="1"/>
  <c r="J332" i="8" s="1"/>
  <c r="F333" i="8" s="1"/>
  <c r="I332" i="9"/>
  <c r="J332" i="9" s="1"/>
  <c r="F333" i="9" s="1"/>
  <c r="H332" i="9"/>
  <c r="G332" i="9"/>
  <c r="G333" i="4"/>
  <c r="J333" i="4"/>
  <c r="I333" i="4"/>
  <c r="H333" i="4"/>
  <c r="F334" i="4"/>
  <c r="H333" i="8" l="1"/>
  <c r="G333" i="8"/>
  <c r="I333" i="8" s="1"/>
  <c r="J333" i="8" s="1"/>
  <c r="F334" i="8" s="1"/>
  <c r="H333" i="9"/>
  <c r="G333" i="9"/>
  <c r="I333" i="9" s="1"/>
  <c r="J333" i="9" s="1"/>
  <c r="F334" i="9" s="1"/>
  <c r="G334" i="4"/>
  <c r="F335" i="4"/>
  <c r="J334" i="4"/>
  <c r="I334" i="4"/>
  <c r="H334" i="4"/>
  <c r="I334" i="9" l="1"/>
  <c r="J334" i="9" s="1"/>
  <c r="F335" i="9" s="1"/>
  <c r="H334" i="9"/>
  <c r="G334" i="9"/>
  <c r="H334" i="8"/>
  <c r="G334" i="8"/>
  <c r="I334" i="8" s="1"/>
  <c r="J334" i="8" s="1"/>
  <c r="F335" i="8" s="1"/>
  <c r="F336" i="4"/>
  <c r="J335" i="4"/>
  <c r="I335" i="4"/>
  <c r="H335" i="4"/>
  <c r="G335" i="4"/>
  <c r="H335" i="8" l="1"/>
  <c r="G335" i="8"/>
  <c r="I335" i="8" s="1"/>
  <c r="J335" i="8" s="1"/>
  <c r="F336" i="8" s="1"/>
  <c r="H335" i="9"/>
  <c r="G335" i="9"/>
  <c r="I335" i="9" s="1"/>
  <c r="J335" i="9" s="1"/>
  <c r="F336" i="9" s="1"/>
  <c r="H336" i="4"/>
  <c r="G336" i="4"/>
  <c r="J336" i="4"/>
  <c r="I336" i="4"/>
  <c r="F337" i="4"/>
  <c r="G336" i="9" l="1"/>
  <c r="H336" i="9"/>
  <c r="J336" i="9"/>
  <c r="F337" i="9" s="1"/>
  <c r="I336" i="9"/>
  <c r="H336" i="8"/>
  <c r="G336" i="8"/>
  <c r="I336" i="8" s="1"/>
  <c r="J336" i="8" s="1"/>
  <c r="F337" i="8" s="1"/>
  <c r="F338" i="4"/>
  <c r="J337" i="4"/>
  <c r="I337" i="4"/>
  <c r="H337" i="4"/>
  <c r="G337" i="4"/>
  <c r="H337" i="8" l="1"/>
  <c r="G337" i="8"/>
  <c r="I337" i="8" s="1"/>
  <c r="J337" i="8" s="1"/>
  <c r="F338" i="8" s="1"/>
  <c r="G337" i="9"/>
  <c r="I337" i="9" s="1"/>
  <c r="J337" i="9" s="1"/>
  <c r="F338" i="9" s="1"/>
  <c r="H337" i="9"/>
  <c r="H338" i="4"/>
  <c r="G338" i="4"/>
  <c r="F339" i="4"/>
  <c r="J338" i="4"/>
  <c r="I338" i="4"/>
  <c r="G338" i="9" l="1"/>
  <c r="H338" i="9"/>
  <c r="I338" i="9" s="1"/>
  <c r="J338" i="9" s="1"/>
  <c r="F339" i="9" s="1"/>
  <c r="H338" i="8"/>
  <c r="G338" i="8"/>
  <c r="I338" i="8" s="1"/>
  <c r="J338" i="8" s="1"/>
  <c r="F339" i="8" s="1"/>
  <c r="I339" i="4"/>
  <c r="F340" i="4"/>
  <c r="H339" i="4"/>
  <c r="G339" i="4"/>
  <c r="J339" i="4"/>
  <c r="H339" i="8" l="1"/>
  <c r="G339" i="8"/>
  <c r="I339" i="8" s="1"/>
  <c r="J339" i="8" s="1"/>
  <c r="F340" i="8" s="1"/>
  <c r="J339" i="9"/>
  <c r="F340" i="9" s="1"/>
  <c r="H339" i="9"/>
  <c r="G339" i="9"/>
  <c r="I339" i="9"/>
  <c r="H340" i="4"/>
  <c r="G340" i="4"/>
  <c r="F341" i="4"/>
  <c r="J340" i="4"/>
  <c r="I340" i="4"/>
  <c r="G340" i="9" l="1"/>
  <c r="H340" i="9"/>
  <c r="I340" i="9" s="1"/>
  <c r="J340" i="9" s="1"/>
  <c r="F341" i="9" s="1"/>
  <c r="H340" i="8"/>
  <c r="G340" i="8"/>
  <c r="I340" i="8" s="1"/>
  <c r="J340" i="8" s="1"/>
  <c r="F341" i="8" s="1"/>
  <c r="I341" i="4"/>
  <c r="H341" i="4"/>
  <c r="F342" i="4"/>
  <c r="J341" i="4"/>
  <c r="G341" i="4"/>
  <c r="H341" i="8" l="1"/>
  <c r="G341" i="8"/>
  <c r="I341" i="8" s="1"/>
  <c r="J341" i="8" s="1"/>
  <c r="F342" i="8" s="1"/>
  <c r="G341" i="9"/>
  <c r="H341" i="9"/>
  <c r="I341" i="9" s="1"/>
  <c r="J341" i="9" s="1"/>
  <c r="F342" i="9" s="1"/>
  <c r="F343" i="4"/>
  <c r="H342" i="4"/>
  <c r="J342" i="4"/>
  <c r="I342" i="4"/>
  <c r="G342" i="4"/>
  <c r="H342" i="9" l="1"/>
  <c r="G342" i="9"/>
  <c r="I342" i="9" s="1"/>
  <c r="J342" i="9" s="1"/>
  <c r="F343" i="9" s="1"/>
  <c r="G342" i="8"/>
  <c r="I342" i="8" s="1"/>
  <c r="J342" i="8" s="1"/>
  <c r="F343" i="8" s="1"/>
  <c r="H342" i="8"/>
  <c r="F344" i="4"/>
  <c r="J343" i="4"/>
  <c r="I343" i="4"/>
  <c r="H343" i="4"/>
  <c r="G343" i="4"/>
  <c r="H343" i="8" l="1"/>
  <c r="G343" i="8"/>
  <c r="I343" i="8" s="1"/>
  <c r="J343" i="8" s="1"/>
  <c r="F344" i="8" s="1"/>
  <c r="H343" i="9"/>
  <c r="G343" i="9"/>
  <c r="I343" i="9" s="1"/>
  <c r="J343" i="9" s="1"/>
  <c r="F344" i="9" s="1"/>
  <c r="G344" i="4"/>
  <c r="I344" i="4"/>
  <c r="H344" i="4"/>
  <c r="J344" i="4"/>
  <c r="F345" i="4"/>
  <c r="H344" i="9" l="1"/>
  <c r="G344" i="9"/>
  <c r="I344" i="9"/>
  <c r="J344" i="9" s="1"/>
  <c r="F345" i="9" s="1"/>
  <c r="H344" i="8"/>
  <c r="G344" i="8"/>
  <c r="I344" i="8" s="1"/>
  <c r="J344" i="8" s="1"/>
  <c r="F345" i="8" s="1"/>
  <c r="F346" i="4"/>
  <c r="J345" i="4"/>
  <c r="G345" i="4"/>
  <c r="H345" i="4"/>
  <c r="I345" i="4"/>
  <c r="H345" i="8" l="1"/>
  <c r="G345" i="8"/>
  <c r="I345" i="8" s="1"/>
  <c r="J345" i="8" s="1"/>
  <c r="F346" i="8" s="1"/>
  <c r="I345" i="9"/>
  <c r="J345" i="9" s="1"/>
  <c r="F346" i="9" s="1"/>
  <c r="H345" i="9"/>
  <c r="G345" i="9"/>
  <c r="F347" i="4"/>
  <c r="J346" i="4"/>
  <c r="I346" i="4"/>
  <c r="G346" i="4"/>
  <c r="H346" i="4"/>
  <c r="H346" i="9" l="1"/>
  <c r="G346" i="9"/>
  <c r="I346" i="9" s="1"/>
  <c r="J346" i="9" s="1"/>
  <c r="F347" i="9" s="1"/>
  <c r="H346" i="8"/>
  <c r="I346" i="8" s="1"/>
  <c r="J346" i="8" s="1"/>
  <c r="F347" i="8" s="1"/>
  <c r="G346" i="8"/>
  <c r="F348" i="4"/>
  <c r="J347" i="4"/>
  <c r="I347" i="4"/>
  <c r="H347" i="4"/>
  <c r="G347" i="4"/>
  <c r="H347" i="8" l="1"/>
  <c r="G347" i="8"/>
  <c r="I347" i="8" s="1"/>
  <c r="J347" i="8" s="1"/>
  <c r="F348" i="8" s="1"/>
  <c r="H347" i="9"/>
  <c r="G347" i="9"/>
  <c r="I347" i="9" s="1"/>
  <c r="J347" i="9" s="1"/>
  <c r="F348" i="9" s="1"/>
  <c r="F349" i="4"/>
  <c r="J348" i="4"/>
  <c r="G348" i="4"/>
  <c r="I348" i="4"/>
  <c r="H348" i="4"/>
  <c r="H348" i="9" l="1"/>
  <c r="G348" i="9"/>
  <c r="I348" i="9" s="1"/>
  <c r="J348" i="9" s="1"/>
  <c r="F349" i="9" s="1"/>
  <c r="H348" i="8"/>
  <c r="I348" i="8" s="1"/>
  <c r="J348" i="8" s="1"/>
  <c r="F349" i="8" s="1"/>
  <c r="G348" i="8"/>
  <c r="H349" i="4"/>
  <c r="G349" i="4"/>
  <c r="F350" i="4"/>
  <c r="J349" i="4"/>
  <c r="I349" i="4"/>
  <c r="H349" i="8" l="1"/>
  <c r="G349" i="8"/>
  <c r="I349" i="8" s="1"/>
  <c r="J349" i="8" s="1"/>
  <c r="F350" i="8" s="1"/>
  <c r="H349" i="9"/>
  <c r="I349" i="9" s="1"/>
  <c r="J349" i="9" s="1"/>
  <c r="F350" i="9" s="1"/>
  <c r="G349" i="9"/>
  <c r="F351" i="4"/>
  <c r="G350" i="4"/>
  <c r="I350" i="4"/>
  <c r="H350" i="4"/>
  <c r="J350" i="4"/>
  <c r="H350" i="9" l="1"/>
  <c r="G350" i="9"/>
  <c r="I350" i="9" s="1"/>
  <c r="J350" i="9" s="1"/>
  <c r="F351" i="9" s="1"/>
  <c r="H350" i="8"/>
  <c r="I350" i="8" s="1"/>
  <c r="J350" i="8" s="1"/>
  <c r="F351" i="8" s="1"/>
  <c r="G350" i="8"/>
  <c r="F352" i="4"/>
  <c r="J351" i="4"/>
  <c r="I351" i="4"/>
  <c r="H351" i="4"/>
  <c r="G351" i="4"/>
  <c r="G351" i="8" l="1"/>
  <c r="H351" i="8"/>
  <c r="I351" i="8"/>
  <c r="J351" i="8" s="1"/>
  <c r="F352" i="8" s="1"/>
  <c r="G351" i="9"/>
  <c r="I351" i="9"/>
  <c r="J351" i="9" s="1"/>
  <c r="F352" i="9" s="1"/>
  <c r="H351" i="9"/>
  <c r="H352" i="4"/>
  <c r="J352" i="4"/>
  <c r="I352" i="4"/>
  <c r="G352" i="4"/>
  <c r="F353" i="4"/>
  <c r="H352" i="9" l="1"/>
  <c r="G352" i="9"/>
  <c r="I352" i="9" s="1"/>
  <c r="J352" i="9" s="1"/>
  <c r="F353" i="9" s="1"/>
  <c r="G352" i="8"/>
  <c r="I352" i="8" s="1"/>
  <c r="J352" i="8" s="1"/>
  <c r="F353" i="8" s="1"/>
  <c r="H352" i="8"/>
  <c r="I353" i="4"/>
  <c r="H353" i="4"/>
  <c r="G353" i="4"/>
  <c r="F354" i="4"/>
  <c r="J353" i="4"/>
  <c r="H353" i="8" l="1"/>
  <c r="G353" i="8"/>
  <c r="I353" i="8" s="1"/>
  <c r="J353" i="8" s="1"/>
  <c r="F354" i="8" s="1"/>
  <c r="H353" i="9"/>
  <c r="G353" i="9"/>
  <c r="I353" i="9" s="1"/>
  <c r="J353" i="9" s="1"/>
  <c r="F354" i="9" s="1"/>
  <c r="H354" i="4"/>
  <c r="G354" i="4"/>
  <c r="I354" i="4"/>
  <c r="F355" i="4"/>
  <c r="J354" i="4"/>
  <c r="H354" i="9" l="1"/>
  <c r="G354" i="9"/>
  <c r="I354" i="9"/>
  <c r="J354" i="9" s="1"/>
  <c r="F355" i="9" s="1"/>
  <c r="H354" i="8"/>
  <c r="I354" i="8"/>
  <c r="J354" i="8" s="1"/>
  <c r="F355" i="8" s="1"/>
  <c r="G354" i="8"/>
  <c r="J355" i="4"/>
  <c r="F356" i="4"/>
  <c r="I355" i="4"/>
  <c r="H355" i="4"/>
  <c r="G355" i="4"/>
  <c r="G355" i="8" l="1"/>
  <c r="H355" i="8"/>
  <c r="I355" i="8" s="1"/>
  <c r="J355" i="8" s="1"/>
  <c r="F356" i="8" s="1"/>
  <c r="H355" i="9"/>
  <c r="I355" i="9"/>
  <c r="J355" i="9" s="1"/>
  <c r="F356" i="9" s="1"/>
  <c r="G355" i="9"/>
  <c r="H356" i="4"/>
  <c r="G356" i="4"/>
  <c r="F357" i="4"/>
  <c r="J356" i="4"/>
  <c r="I356" i="4"/>
  <c r="H356" i="9" l="1"/>
  <c r="G356" i="9"/>
  <c r="I356" i="9" s="1"/>
  <c r="J356" i="9" s="1"/>
  <c r="F357" i="9" s="1"/>
  <c r="H356" i="8"/>
  <c r="G356" i="8"/>
  <c r="I356" i="8" s="1"/>
  <c r="J356" i="8" s="1"/>
  <c r="F357" i="8" s="1"/>
  <c r="I357" i="4"/>
  <c r="H357" i="4"/>
  <c r="G357" i="4"/>
  <c r="J357" i="4"/>
  <c r="F358" i="4"/>
  <c r="G357" i="8" l="1"/>
  <c r="I357" i="8" s="1"/>
  <c r="J357" i="8" s="1"/>
  <c r="F358" i="8" s="1"/>
  <c r="H357" i="8"/>
  <c r="H357" i="9"/>
  <c r="G357" i="9"/>
  <c r="I357" i="9" s="1"/>
  <c r="J357" i="9" s="1"/>
  <c r="F358" i="9" s="1"/>
  <c r="J358" i="4"/>
  <c r="I358" i="4"/>
  <c r="F359" i="4"/>
  <c r="H358" i="4"/>
  <c r="G358" i="4"/>
  <c r="H358" i="9" l="1"/>
  <c r="G358" i="9"/>
  <c r="I358" i="9"/>
  <c r="J358" i="9" s="1"/>
  <c r="F359" i="9" s="1"/>
  <c r="G358" i="8"/>
  <c r="I358" i="8" s="1"/>
  <c r="J358" i="8" s="1"/>
  <c r="F359" i="8" s="1"/>
  <c r="H358" i="8"/>
  <c r="F360" i="4"/>
  <c r="J359" i="4"/>
  <c r="H359" i="4"/>
  <c r="I359" i="4"/>
  <c r="G359" i="4"/>
  <c r="H359" i="8" l="1"/>
  <c r="G359" i="8"/>
  <c r="I359" i="8" s="1"/>
  <c r="J359" i="8" s="1"/>
  <c r="F360" i="8" s="1"/>
  <c r="G359" i="9"/>
  <c r="I359" i="9"/>
  <c r="H359" i="9"/>
  <c r="J359" i="9"/>
  <c r="F360" i="9" s="1"/>
  <c r="G360" i="4"/>
  <c r="J360" i="4"/>
  <c r="I360" i="4"/>
  <c r="H360" i="4"/>
  <c r="F361" i="4"/>
  <c r="H360" i="9" l="1"/>
  <c r="G360" i="9"/>
  <c r="I360" i="9" s="1"/>
  <c r="J360" i="9" s="1"/>
  <c r="F361" i="9" s="1"/>
  <c r="G360" i="8"/>
  <c r="I360" i="8" s="1"/>
  <c r="J360" i="8" s="1"/>
  <c r="F361" i="8" s="1"/>
  <c r="H360" i="8"/>
  <c r="H361" i="4"/>
  <c r="G361" i="4"/>
  <c r="F362" i="4"/>
  <c r="J361" i="4"/>
  <c r="I361" i="4"/>
  <c r="G361" i="8" l="1"/>
  <c r="I361" i="8" s="1"/>
  <c r="J361" i="8" s="1"/>
  <c r="F362" i="8" s="1"/>
  <c r="H361" i="8"/>
  <c r="H361" i="9"/>
  <c r="G361" i="9"/>
  <c r="I361" i="9" s="1"/>
  <c r="J361" i="9" s="1"/>
  <c r="F362" i="9" s="1"/>
  <c r="G362" i="4"/>
  <c r="H362" i="4"/>
  <c r="F363" i="4"/>
  <c r="J362" i="4"/>
  <c r="I362" i="4"/>
  <c r="G362" i="9" l="1"/>
  <c r="H362" i="9"/>
  <c r="I362" i="9" s="1"/>
  <c r="J362" i="9" s="1"/>
  <c r="F363" i="9" s="1"/>
  <c r="H362" i="8"/>
  <c r="I362" i="8" s="1"/>
  <c r="J362" i="8" s="1"/>
  <c r="F363" i="8" s="1"/>
  <c r="G362" i="8"/>
  <c r="J363" i="4"/>
  <c r="I363" i="4"/>
  <c r="F364" i="4"/>
  <c r="H363" i="4"/>
  <c r="G363" i="4"/>
  <c r="H363" i="8" l="1"/>
  <c r="G363" i="8"/>
  <c r="I363" i="8"/>
  <c r="J363" i="8" s="1"/>
  <c r="F364" i="8" s="1"/>
  <c r="H363" i="9"/>
  <c r="G363" i="9"/>
  <c r="I363" i="9" s="1"/>
  <c r="J363" i="9" s="1"/>
  <c r="F364" i="9" s="1"/>
  <c r="F365" i="4"/>
  <c r="J364" i="4"/>
  <c r="I364" i="4"/>
  <c r="G364" i="4"/>
  <c r="H364" i="4"/>
  <c r="G364" i="9" l="1"/>
  <c r="F365" i="9"/>
  <c r="H364" i="9"/>
  <c r="J364" i="9"/>
  <c r="I364" i="9"/>
  <c r="J364" i="8"/>
  <c r="I364" i="8"/>
  <c r="H364" i="8"/>
  <c r="F365" i="8"/>
  <c r="G364" i="8"/>
  <c r="G365" i="4"/>
  <c r="F366" i="4"/>
  <c r="I365" i="4"/>
  <c r="H365" i="4"/>
  <c r="J365" i="4"/>
  <c r="F366" i="8" l="1"/>
  <c r="J365" i="8"/>
  <c r="H365" i="8"/>
  <c r="G365" i="8"/>
  <c r="I365" i="8"/>
  <c r="I365" i="9"/>
  <c r="H365" i="9"/>
  <c r="G365" i="9"/>
  <c r="F366" i="9"/>
  <c r="J365" i="9"/>
  <c r="J366" i="4"/>
  <c r="I366" i="4"/>
  <c r="H366" i="4"/>
  <c r="F367" i="4"/>
  <c r="G366" i="4"/>
  <c r="J366" i="9" l="1"/>
  <c r="I366" i="9"/>
  <c r="F367" i="9"/>
  <c r="H366" i="9"/>
  <c r="G366" i="9"/>
  <c r="F368" i="4"/>
  <c r="J367" i="4"/>
  <c r="I367" i="4"/>
  <c r="H367" i="4"/>
  <c r="G367" i="4"/>
  <c r="I366" i="8"/>
  <c r="H366" i="8"/>
  <c r="F367" i="8"/>
  <c r="J366" i="8"/>
  <c r="G366" i="8"/>
  <c r="F368" i="8" l="1"/>
  <c r="G367" i="8"/>
  <c r="H367" i="8"/>
  <c r="J367" i="8"/>
  <c r="I367" i="8"/>
  <c r="I368" i="4"/>
  <c r="H368" i="4"/>
  <c r="G368" i="4"/>
  <c r="F369" i="4"/>
  <c r="J368" i="4"/>
  <c r="I367" i="9"/>
  <c r="F368" i="9"/>
  <c r="H367" i="9"/>
  <c r="J367" i="9"/>
  <c r="G367" i="9"/>
  <c r="F369" i="9" l="1"/>
  <c r="J368" i="9"/>
  <c r="I368" i="9"/>
  <c r="H368" i="9"/>
  <c r="G368" i="9"/>
  <c r="J369" i="4"/>
  <c r="F370" i="4"/>
  <c r="I369" i="4"/>
  <c r="H369" i="4"/>
  <c r="G369" i="4"/>
  <c r="I368" i="8"/>
  <c r="F369" i="8"/>
  <c r="G368" i="8"/>
  <c r="J368" i="8"/>
  <c r="H368" i="8"/>
  <c r="F370" i="8" l="1"/>
  <c r="J369" i="8"/>
  <c r="I369" i="8"/>
  <c r="H369" i="8"/>
  <c r="G369" i="8"/>
  <c r="F371" i="4"/>
  <c r="I370" i="4"/>
  <c r="J370" i="4"/>
  <c r="H370" i="4"/>
  <c r="G370" i="4"/>
  <c r="F370" i="9"/>
  <c r="J369" i="9"/>
  <c r="I369" i="9"/>
  <c r="H369" i="9"/>
  <c r="G369" i="9"/>
  <c r="J370" i="9" l="1"/>
  <c r="I370" i="9"/>
  <c r="G370" i="9"/>
  <c r="F371" i="9"/>
  <c r="H370" i="9"/>
  <c r="I371" i="4"/>
  <c r="G371" i="4"/>
  <c r="F372" i="4"/>
  <c r="J371" i="4"/>
  <c r="H371" i="4"/>
  <c r="J370" i="8"/>
  <c r="F371" i="8"/>
  <c r="I370" i="8"/>
  <c r="H370" i="8"/>
  <c r="G370" i="8"/>
  <c r="I371" i="8" l="1"/>
  <c r="H371" i="8"/>
  <c r="G371" i="8"/>
  <c r="J371" i="8"/>
  <c r="F372" i="8"/>
  <c r="F373" i="4"/>
  <c r="I372" i="4"/>
  <c r="G372" i="4"/>
  <c r="H372" i="4"/>
  <c r="J372" i="4"/>
  <c r="G371" i="9"/>
  <c r="I371" i="9"/>
  <c r="H371" i="9"/>
  <c r="F372" i="9"/>
  <c r="J371" i="9"/>
  <c r="J372" i="9" l="1"/>
  <c r="I372" i="9"/>
  <c r="H372" i="9"/>
  <c r="G372" i="9"/>
  <c r="F373" i="9"/>
  <c r="H373" i="4"/>
  <c r="G373" i="4"/>
  <c r="J373" i="4"/>
  <c r="F374" i="4"/>
  <c r="I373" i="4"/>
  <c r="F373" i="8"/>
  <c r="J372" i="8"/>
  <c r="G372" i="8"/>
  <c r="H372" i="8"/>
  <c r="I372" i="8"/>
  <c r="F374" i="8" l="1"/>
  <c r="J373" i="8"/>
  <c r="H373" i="8"/>
  <c r="I373" i="8"/>
  <c r="G373" i="8"/>
  <c r="F375" i="4"/>
  <c r="J374" i="4"/>
  <c r="I374" i="4"/>
  <c r="H374" i="4"/>
  <c r="G374" i="4"/>
  <c r="G373" i="9"/>
  <c r="H373" i="9"/>
  <c r="F374" i="9"/>
  <c r="J373" i="9"/>
  <c r="I373" i="9"/>
  <c r="F375" i="9" l="1"/>
  <c r="H374" i="9"/>
  <c r="G374" i="9"/>
  <c r="J374" i="9"/>
  <c r="I374" i="9"/>
  <c r="F376" i="4"/>
  <c r="J375" i="4"/>
  <c r="I375" i="4"/>
  <c r="G375" i="4"/>
  <c r="H375" i="4"/>
  <c r="J374" i="8"/>
  <c r="I374" i="8"/>
  <c r="H374" i="8"/>
  <c r="G374" i="8"/>
  <c r="F375" i="8"/>
  <c r="F376" i="8" l="1"/>
  <c r="J375" i="8"/>
  <c r="H375" i="8"/>
  <c r="I375" i="8"/>
  <c r="G375" i="8"/>
  <c r="H376" i="4"/>
  <c r="G376" i="4"/>
  <c r="F377" i="4"/>
  <c r="J376" i="4"/>
  <c r="I376" i="4"/>
  <c r="J375" i="9"/>
  <c r="I375" i="9"/>
  <c r="H375" i="9"/>
  <c r="G375" i="9"/>
  <c r="F376" i="9"/>
  <c r="J376" i="9" l="1"/>
  <c r="F377" i="9"/>
  <c r="I376" i="9"/>
  <c r="H376" i="9"/>
  <c r="G376" i="9"/>
  <c r="F378" i="4"/>
  <c r="I377" i="4"/>
  <c r="H377" i="4"/>
  <c r="G377" i="4"/>
  <c r="J377" i="4"/>
  <c r="G376" i="8"/>
  <c r="F377" i="8"/>
  <c r="J376" i="8"/>
  <c r="I376" i="8"/>
  <c r="H376" i="8"/>
  <c r="F378" i="8" l="1"/>
  <c r="I377" i="8"/>
  <c r="G377" i="8"/>
  <c r="J377" i="8"/>
  <c r="H377" i="8"/>
  <c r="H377" i="9"/>
  <c r="G377" i="9"/>
  <c r="I377" i="9"/>
  <c r="J377" i="9"/>
  <c r="F378" i="9"/>
  <c r="J378" i="4"/>
  <c r="I378" i="4"/>
  <c r="F379" i="4"/>
  <c r="H378" i="4"/>
  <c r="G378" i="4"/>
  <c r="I378" i="9" l="1"/>
  <c r="J378" i="9"/>
  <c r="H378" i="9"/>
  <c r="F379" i="9"/>
  <c r="G378" i="9"/>
  <c r="F380" i="4"/>
  <c r="J379" i="4"/>
  <c r="I379" i="4"/>
  <c r="G379" i="4"/>
  <c r="H379" i="4"/>
  <c r="H378" i="8"/>
  <c r="G378" i="8"/>
  <c r="F379" i="8"/>
  <c r="J378" i="8"/>
  <c r="I378" i="8"/>
  <c r="H379" i="8" l="1"/>
  <c r="G379" i="8"/>
  <c r="J379" i="8"/>
  <c r="I379" i="8"/>
  <c r="F380" i="8"/>
  <c r="I380" i="4"/>
  <c r="F381" i="4"/>
  <c r="J380" i="4"/>
  <c r="H380" i="4"/>
  <c r="G380" i="4"/>
  <c r="I379" i="9"/>
  <c r="F380" i="9"/>
  <c r="J379" i="9"/>
  <c r="H379" i="9"/>
  <c r="G379" i="9"/>
  <c r="G380" i="9" l="1"/>
  <c r="F381" i="9"/>
  <c r="J380" i="9"/>
  <c r="I380" i="9"/>
  <c r="H380" i="9"/>
  <c r="F382" i="4"/>
  <c r="H381" i="4"/>
  <c r="I381" i="4"/>
  <c r="G381" i="4"/>
  <c r="J381" i="4"/>
  <c r="F381" i="8"/>
  <c r="J380" i="8"/>
  <c r="I380" i="8"/>
  <c r="H380" i="8"/>
  <c r="G380" i="8"/>
  <c r="I381" i="8" l="1"/>
  <c r="G381" i="8"/>
  <c r="F382" i="8"/>
  <c r="J381" i="8"/>
  <c r="H381" i="8"/>
  <c r="F383" i="4"/>
  <c r="J382" i="4"/>
  <c r="G382" i="4"/>
  <c r="I382" i="4"/>
  <c r="H382" i="4"/>
  <c r="F382" i="9"/>
  <c r="G381" i="9"/>
  <c r="J381" i="9"/>
  <c r="I381" i="9"/>
  <c r="H381" i="9"/>
  <c r="F383" i="9" l="1"/>
  <c r="J382" i="9"/>
  <c r="I382" i="9"/>
  <c r="H382" i="9"/>
  <c r="G382" i="9"/>
  <c r="F384" i="4"/>
  <c r="J383" i="4"/>
  <c r="I383" i="4"/>
  <c r="H383" i="4"/>
  <c r="G383" i="4"/>
  <c r="H382" i="8"/>
  <c r="F383" i="8"/>
  <c r="J382" i="8"/>
  <c r="I382" i="8"/>
  <c r="G382" i="8"/>
  <c r="H384" i="4" l="1"/>
  <c r="G384" i="4"/>
  <c r="J384" i="4"/>
  <c r="F385" i="4"/>
  <c r="I384" i="4"/>
  <c r="F384" i="8"/>
  <c r="J383" i="8"/>
  <c r="I383" i="8"/>
  <c r="H383" i="8"/>
  <c r="G383" i="8"/>
  <c r="F384" i="9"/>
  <c r="J383" i="9"/>
  <c r="H383" i="9"/>
  <c r="I383" i="9"/>
  <c r="G383" i="9"/>
  <c r="F385" i="9" l="1"/>
  <c r="H384" i="9"/>
  <c r="J384" i="9"/>
  <c r="G384" i="9"/>
  <c r="I384" i="9"/>
  <c r="F385" i="8"/>
  <c r="J384" i="8"/>
  <c r="H384" i="8"/>
  <c r="G384" i="8"/>
  <c r="I384" i="8"/>
  <c r="J385" i="4"/>
  <c r="F386" i="4"/>
  <c r="I385" i="4"/>
  <c r="H385" i="4"/>
  <c r="G385" i="4"/>
  <c r="I386" i="4" l="1"/>
  <c r="H386" i="4"/>
  <c r="G386" i="4"/>
  <c r="F387" i="4"/>
  <c r="J386" i="4"/>
  <c r="J385" i="8"/>
  <c r="I385" i="8"/>
  <c r="G385" i="8"/>
  <c r="F386" i="8"/>
  <c r="H385" i="8"/>
  <c r="F386" i="9"/>
  <c r="I385" i="9"/>
  <c r="H385" i="9"/>
  <c r="G385" i="9"/>
  <c r="J385" i="9"/>
  <c r="F387" i="9" l="1"/>
  <c r="J386" i="9"/>
  <c r="I386" i="9"/>
  <c r="H386" i="9"/>
  <c r="G386" i="9"/>
  <c r="F387" i="8"/>
  <c r="J386" i="8"/>
  <c r="G386" i="8"/>
  <c r="I386" i="8"/>
  <c r="H386" i="8"/>
  <c r="F388" i="4"/>
  <c r="J387" i="4"/>
  <c r="I387" i="4"/>
  <c r="H387" i="4"/>
  <c r="G387" i="4"/>
  <c r="H388" i="4" l="1"/>
  <c r="J388" i="4"/>
  <c r="F389" i="4"/>
  <c r="I388" i="4"/>
  <c r="G388" i="4"/>
  <c r="I387" i="8"/>
  <c r="H387" i="8"/>
  <c r="G387" i="8"/>
  <c r="F388" i="8"/>
  <c r="J387" i="8"/>
  <c r="H387" i="9"/>
  <c r="G387" i="9"/>
  <c r="F388" i="9"/>
  <c r="J387" i="9"/>
  <c r="I387" i="9"/>
  <c r="H388" i="9" l="1"/>
  <c r="I388" i="9"/>
  <c r="J388" i="9"/>
  <c r="G388" i="9"/>
  <c r="F389" i="9"/>
  <c r="F390" i="4"/>
  <c r="J389" i="4"/>
  <c r="I389" i="4"/>
  <c r="H389" i="4"/>
  <c r="G389" i="4"/>
  <c r="H388" i="8"/>
  <c r="F389" i="8"/>
  <c r="J388" i="8"/>
  <c r="G388" i="8"/>
  <c r="I388" i="8"/>
  <c r="G389" i="8" l="1"/>
  <c r="J389" i="8"/>
  <c r="I389" i="8"/>
  <c r="H389" i="8"/>
  <c r="F390" i="8"/>
  <c r="F390" i="9"/>
  <c r="J389" i="9"/>
  <c r="I389" i="9"/>
  <c r="H389" i="9"/>
  <c r="G389" i="9"/>
  <c r="J390" i="4"/>
  <c r="G390" i="4"/>
  <c r="F391" i="4"/>
  <c r="H390" i="4"/>
  <c r="I390" i="4"/>
  <c r="I391" i="4" l="1"/>
  <c r="F392" i="4"/>
  <c r="J391" i="4"/>
  <c r="H391" i="4"/>
  <c r="G391" i="4"/>
  <c r="I390" i="9"/>
  <c r="H390" i="9"/>
  <c r="F391" i="9"/>
  <c r="J390" i="9"/>
  <c r="G390" i="9"/>
  <c r="I390" i="8"/>
  <c r="F391" i="8"/>
  <c r="J390" i="8"/>
  <c r="H390" i="8"/>
  <c r="G390" i="8"/>
  <c r="H391" i="9" l="1"/>
  <c r="G391" i="9"/>
  <c r="F392" i="9"/>
  <c r="J391" i="9"/>
  <c r="I391" i="9"/>
  <c r="F393" i="4"/>
  <c r="J392" i="4"/>
  <c r="H392" i="4"/>
  <c r="G392" i="4"/>
  <c r="I392" i="4"/>
  <c r="F392" i="8"/>
  <c r="J391" i="8"/>
  <c r="I391" i="8"/>
  <c r="G391" i="8"/>
  <c r="H391" i="8"/>
  <c r="H392" i="9" l="1"/>
  <c r="F393" i="9"/>
  <c r="J392" i="9"/>
  <c r="I392" i="9"/>
  <c r="G392" i="9"/>
  <c r="G392" i="8"/>
  <c r="H392" i="8"/>
  <c r="F393" i="8"/>
  <c r="I392" i="8"/>
  <c r="J392" i="8"/>
  <c r="G393" i="4"/>
  <c r="F394" i="4"/>
  <c r="H393" i="4"/>
  <c r="J393" i="4"/>
  <c r="I393" i="4"/>
  <c r="G393" i="8" l="1"/>
  <c r="J393" i="8"/>
  <c r="I393" i="8"/>
  <c r="H393" i="8"/>
  <c r="F394" i="8"/>
  <c r="H394" i="4"/>
  <c r="G394" i="4"/>
  <c r="F395" i="4"/>
  <c r="I394" i="4"/>
  <c r="J394" i="4"/>
  <c r="F394" i="9"/>
  <c r="J393" i="9"/>
  <c r="I393" i="9"/>
  <c r="H393" i="9"/>
  <c r="G393" i="9"/>
  <c r="H395" i="4" l="1"/>
  <c r="G395" i="4"/>
  <c r="I395" i="4"/>
  <c r="J395" i="4"/>
  <c r="F396" i="4"/>
  <c r="I394" i="9"/>
  <c r="H394" i="9"/>
  <c r="G394" i="9"/>
  <c r="F395" i="9"/>
  <c r="J394" i="9"/>
  <c r="F395" i="8"/>
  <c r="J394" i="8"/>
  <c r="I394" i="8"/>
  <c r="G394" i="8"/>
  <c r="H394" i="8"/>
  <c r="G395" i="8" l="1"/>
  <c r="I395" i="8"/>
  <c r="H395" i="8"/>
  <c r="F396" i="8"/>
  <c r="J395" i="8"/>
  <c r="G396" i="4"/>
  <c r="F397" i="4"/>
  <c r="J396" i="4"/>
  <c r="I396" i="4"/>
  <c r="H396" i="4"/>
  <c r="G395" i="9"/>
  <c r="J395" i="9"/>
  <c r="I395" i="9"/>
  <c r="H395" i="9"/>
  <c r="F396" i="9"/>
  <c r="F397" i="9" l="1"/>
  <c r="I396" i="9"/>
  <c r="G396" i="9"/>
  <c r="H396" i="9"/>
  <c r="J396" i="9"/>
  <c r="G396" i="8"/>
  <c r="F397" i="8"/>
  <c r="J396" i="8"/>
  <c r="I396" i="8"/>
  <c r="H396" i="8"/>
  <c r="G397" i="4"/>
  <c r="H397" i="4"/>
  <c r="F398" i="4"/>
  <c r="J397" i="4"/>
  <c r="I397" i="4"/>
  <c r="F399" i="4" l="1"/>
  <c r="I398" i="4"/>
  <c r="G398" i="4"/>
  <c r="H398" i="4"/>
  <c r="J398" i="4"/>
  <c r="F398" i="8"/>
  <c r="J397" i="8"/>
  <c r="G397" i="8"/>
  <c r="I397" i="8"/>
  <c r="H397" i="8"/>
  <c r="G397" i="9"/>
  <c r="F398" i="9"/>
  <c r="J397" i="9"/>
  <c r="I397" i="9"/>
  <c r="H397" i="9"/>
  <c r="J398" i="9" l="1"/>
  <c r="F399" i="9"/>
  <c r="H398" i="9"/>
  <c r="G398" i="9"/>
  <c r="I398" i="9"/>
  <c r="I398" i="8"/>
  <c r="H398" i="8"/>
  <c r="F399" i="8"/>
  <c r="J398" i="8"/>
  <c r="G398" i="8"/>
  <c r="J399" i="4"/>
  <c r="I399" i="4"/>
  <c r="H399" i="4"/>
  <c r="F400" i="4"/>
  <c r="G399" i="4"/>
  <c r="G399" i="8" l="1"/>
  <c r="F400" i="8"/>
  <c r="J399" i="8"/>
  <c r="I399" i="8"/>
  <c r="H399" i="8"/>
  <c r="J400" i="4"/>
  <c r="I400" i="4"/>
  <c r="H400" i="4"/>
  <c r="G400" i="4"/>
  <c r="F401" i="4"/>
  <c r="I399" i="9"/>
  <c r="H399" i="9"/>
  <c r="G399" i="9"/>
  <c r="F400" i="9"/>
  <c r="J399" i="9"/>
  <c r="H400" i="9" l="1"/>
  <c r="I400" i="9"/>
  <c r="F401" i="9"/>
  <c r="J400" i="9"/>
  <c r="G400" i="9"/>
  <c r="J401" i="4"/>
  <c r="I401" i="4"/>
  <c r="F402" i="4"/>
  <c r="H401" i="4"/>
  <c r="G401" i="4"/>
  <c r="I400" i="8"/>
  <c r="H400" i="8"/>
  <c r="G400" i="8"/>
  <c r="F401" i="8"/>
  <c r="J400" i="8"/>
  <c r="F402" i="8" l="1"/>
  <c r="J401" i="8"/>
  <c r="I401" i="8"/>
  <c r="H401" i="8"/>
  <c r="G401" i="8"/>
  <c r="I402" i="4"/>
  <c r="F403" i="4"/>
  <c r="J402" i="4"/>
  <c r="H402" i="4"/>
  <c r="G402" i="4"/>
  <c r="J401" i="9"/>
  <c r="I401" i="9"/>
  <c r="H401" i="9"/>
  <c r="G401" i="9"/>
  <c r="F402" i="9"/>
  <c r="I402" i="9" l="1"/>
  <c r="H402" i="9"/>
  <c r="G402" i="9"/>
  <c r="F403" i="9"/>
  <c r="J402" i="9"/>
  <c r="I403" i="4"/>
  <c r="F404" i="4"/>
  <c r="J403" i="4"/>
  <c r="H403" i="4"/>
  <c r="G403" i="4"/>
  <c r="F403" i="8"/>
  <c r="J402" i="8"/>
  <c r="I402" i="8"/>
  <c r="G402" i="8"/>
  <c r="H402" i="8"/>
  <c r="G404" i="4" l="1"/>
  <c r="F405" i="4"/>
  <c r="J404" i="4"/>
  <c r="H404" i="4"/>
  <c r="I404" i="4"/>
  <c r="J403" i="9"/>
  <c r="I403" i="9"/>
  <c r="G403" i="9"/>
  <c r="F404" i="9"/>
  <c r="H403" i="9"/>
  <c r="H403" i="8"/>
  <c r="G403" i="8"/>
  <c r="F404" i="8"/>
  <c r="I403" i="8"/>
  <c r="J403" i="8"/>
  <c r="F406" i="4" l="1"/>
  <c r="I405" i="4"/>
  <c r="J405" i="4"/>
  <c r="H405" i="4"/>
  <c r="G405" i="4"/>
  <c r="F405" i="8"/>
  <c r="J404" i="8"/>
  <c r="I404" i="8"/>
  <c r="H404" i="8"/>
  <c r="G404" i="8"/>
  <c r="I404" i="9"/>
  <c r="G404" i="9"/>
  <c r="F405" i="9"/>
  <c r="J404" i="9"/>
  <c r="H404" i="9"/>
  <c r="G405" i="9" l="1"/>
  <c r="J405" i="9"/>
  <c r="I405" i="9"/>
  <c r="H405" i="9"/>
  <c r="F406" i="9"/>
  <c r="F406" i="8"/>
  <c r="J405" i="8"/>
  <c r="I405" i="8"/>
  <c r="G405" i="8"/>
  <c r="H405" i="8"/>
  <c r="H406" i="4"/>
  <c r="G406" i="4"/>
  <c r="F407" i="4"/>
  <c r="J406" i="4"/>
  <c r="I406" i="4"/>
  <c r="F408" i="4" l="1"/>
  <c r="J407" i="4"/>
  <c r="G407" i="4"/>
  <c r="I407" i="4"/>
  <c r="H407" i="4"/>
  <c r="G406" i="8"/>
  <c r="F407" i="8"/>
  <c r="J406" i="8"/>
  <c r="I406" i="8"/>
  <c r="H406" i="8"/>
  <c r="G406" i="9"/>
  <c r="F407" i="9"/>
  <c r="J406" i="9"/>
  <c r="I406" i="9"/>
  <c r="H406" i="9"/>
  <c r="H407" i="8" l="1"/>
  <c r="G407" i="8"/>
  <c r="I407" i="8"/>
  <c r="F408" i="8"/>
  <c r="J407" i="8"/>
  <c r="G407" i="9"/>
  <c r="F408" i="9"/>
  <c r="J407" i="9"/>
  <c r="I407" i="9"/>
  <c r="H407" i="9"/>
  <c r="F409" i="4"/>
  <c r="I408" i="4"/>
  <c r="H408" i="4"/>
  <c r="G408" i="4"/>
  <c r="J408" i="4"/>
  <c r="J408" i="8" l="1"/>
  <c r="H408" i="8"/>
  <c r="F409" i="8"/>
  <c r="I408" i="8"/>
  <c r="G408" i="8"/>
  <c r="F410" i="4"/>
  <c r="G409" i="4"/>
  <c r="H409" i="4"/>
  <c r="J409" i="4"/>
  <c r="I409" i="4"/>
  <c r="F409" i="9"/>
  <c r="J408" i="9"/>
  <c r="I408" i="9"/>
  <c r="H408" i="9"/>
  <c r="G408" i="9"/>
  <c r="J409" i="9" l="1"/>
  <c r="H409" i="9"/>
  <c r="G409" i="9"/>
  <c r="F410" i="9"/>
  <c r="I409" i="9"/>
  <c r="H410" i="4"/>
  <c r="G410" i="4"/>
  <c r="I410" i="4"/>
  <c r="F411" i="4"/>
  <c r="J410" i="4"/>
  <c r="F410" i="8"/>
  <c r="J409" i="8"/>
  <c r="I409" i="8"/>
  <c r="H409" i="8"/>
  <c r="G409" i="8"/>
  <c r="F411" i="8" l="1"/>
  <c r="J410" i="8"/>
  <c r="I410" i="8"/>
  <c r="H410" i="8"/>
  <c r="G410" i="8"/>
  <c r="F412" i="4"/>
  <c r="J411" i="4"/>
  <c r="I411" i="4"/>
  <c r="H411" i="4"/>
  <c r="G411" i="4"/>
  <c r="H410" i="9"/>
  <c r="G410" i="9"/>
  <c r="F411" i="9"/>
  <c r="J410" i="9"/>
  <c r="I410" i="9"/>
  <c r="I411" i="9" l="1"/>
  <c r="G411" i="9"/>
  <c r="J411" i="9"/>
  <c r="F412" i="9"/>
  <c r="H411" i="9"/>
  <c r="F413" i="4"/>
  <c r="I412" i="4"/>
  <c r="G412" i="4"/>
  <c r="H412" i="4"/>
  <c r="J412" i="4"/>
  <c r="H411" i="8"/>
  <c r="G411" i="8"/>
  <c r="F412" i="8"/>
  <c r="I411" i="8"/>
  <c r="J411" i="8"/>
  <c r="J412" i="8" l="1"/>
  <c r="I412" i="8"/>
  <c r="H412" i="8"/>
  <c r="F413" i="8"/>
  <c r="G412" i="8"/>
  <c r="I413" i="4"/>
  <c r="F414" i="4"/>
  <c r="H413" i="4"/>
  <c r="G413" i="4"/>
  <c r="J413" i="4"/>
  <c r="I412" i="9"/>
  <c r="F413" i="9"/>
  <c r="G412" i="9"/>
  <c r="J412" i="9"/>
  <c r="H412" i="9"/>
  <c r="J413" i="9" l="1"/>
  <c r="H413" i="9"/>
  <c r="F414" i="9"/>
  <c r="I413" i="9"/>
  <c r="G413" i="9"/>
  <c r="F415" i="4"/>
  <c r="I414" i="4"/>
  <c r="H414" i="4"/>
  <c r="G414" i="4"/>
  <c r="J414" i="4"/>
  <c r="I413" i="8"/>
  <c r="H413" i="8"/>
  <c r="G413" i="8"/>
  <c r="F414" i="8"/>
  <c r="J413" i="8"/>
  <c r="F415" i="8" l="1"/>
  <c r="J414" i="8"/>
  <c r="I414" i="8"/>
  <c r="G414" i="8"/>
  <c r="H414" i="8"/>
  <c r="F416" i="4"/>
  <c r="J415" i="4"/>
  <c r="I415" i="4"/>
  <c r="H415" i="4"/>
  <c r="G415" i="4"/>
  <c r="G414" i="9"/>
  <c r="F415" i="9"/>
  <c r="J414" i="9"/>
  <c r="I414" i="9"/>
  <c r="H414" i="9"/>
  <c r="F416" i="9" l="1"/>
  <c r="J415" i="9"/>
  <c r="I415" i="9"/>
  <c r="H415" i="9"/>
  <c r="G415" i="9"/>
  <c r="H416" i="4"/>
  <c r="I416" i="4"/>
  <c r="G416" i="4"/>
  <c r="J416" i="4"/>
  <c r="F417" i="4"/>
  <c r="I415" i="8"/>
  <c r="F416" i="8"/>
  <c r="G415" i="8"/>
  <c r="H415" i="8"/>
  <c r="J415" i="8"/>
  <c r="F417" i="8" l="1"/>
  <c r="J416" i="8"/>
  <c r="I416" i="8"/>
  <c r="H416" i="8"/>
  <c r="G416" i="8"/>
  <c r="I417" i="4"/>
  <c r="H417" i="4"/>
  <c r="G417" i="4"/>
  <c r="J417" i="4"/>
  <c r="F418" i="4"/>
  <c r="F417" i="9"/>
  <c r="J416" i="9"/>
  <c r="H416" i="9"/>
  <c r="G416" i="9"/>
  <c r="I416" i="9"/>
  <c r="F418" i="9" l="1"/>
  <c r="G417" i="9"/>
  <c r="J417" i="9"/>
  <c r="I417" i="9"/>
  <c r="H417" i="9"/>
  <c r="J418" i="4"/>
  <c r="I418" i="4"/>
  <c r="F419" i="4"/>
  <c r="H418" i="4"/>
  <c r="G418" i="4"/>
  <c r="J417" i="8"/>
  <c r="I417" i="8"/>
  <c r="F418" i="8"/>
  <c r="H417" i="8"/>
  <c r="G417" i="8"/>
  <c r="J418" i="8" l="1"/>
  <c r="F419" i="8"/>
  <c r="I418" i="8"/>
  <c r="G418" i="8"/>
  <c r="H418" i="8"/>
  <c r="I419" i="4"/>
  <c r="H419" i="4"/>
  <c r="G419" i="4"/>
  <c r="F420" i="4"/>
  <c r="J419" i="4"/>
  <c r="F419" i="9"/>
  <c r="J418" i="9"/>
  <c r="I418" i="9"/>
  <c r="H418" i="9"/>
  <c r="G418" i="9"/>
  <c r="H419" i="9" l="1"/>
  <c r="G419" i="9"/>
  <c r="F420" i="9"/>
  <c r="J419" i="9"/>
  <c r="I419" i="9"/>
  <c r="H420" i="4"/>
  <c r="G420" i="4"/>
  <c r="F421" i="4"/>
  <c r="J420" i="4"/>
  <c r="I420" i="4"/>
  <c r="I419" i="8"/>
  <c r="H419" i="8"/>
  <c r="G419" i="8"/>
  <c r="F420" i="8"/>
  <c r="J419" i="8"/>
  <c r="G420" i="8" l="1"/>
  <c r="J420" i="8"/>
  <c r="I420" i="8"/>
  <c r="H420" i="8"/>
  <c r="F421" i="8"/>
  <c r="I421" i="4"/>
  <c r="H421" i="4"/>
  <c r="G421" i="4"/>
  <c r="F422" i="4"/>
  <c r="J421" i="4"/>
  <c r="I420" i="9"/>
  <c r="H420" i="9"/>
  <c r="G420" i="9"/>
  <c r="F421" i="9"/>
  <c r="J420" i="9"/>
  <c r="I421" i="9" l="1"/>
  <c r="F422" i="9"/>
  <c r="J421" i="9"/>
  <c r="H421" i="9"/>
  <c r="G421" i="9"/>
  <c r="J422" i="4"/>
  <c r="F423" i="4"/>
  <c r="I422" i="4"/>
  <c r="H422" i="4"/>
  <c r="G422" i="4"/>
  <c r="J421" i="8"/>
  <c r="I421" i="8"/>
  <c r="H421" i="8"/>
  <c r="F422" i="8"/>
  <c r="G421" i="8"/>
  <c r="H422" i="8" l="1"/>
  <c r="I422" i="8"/>
  <c r="F423" i="8"/>
  <c r="J422" i="8"/>
  <c r="G422" i="8"/>
  <c r="F423" i="9"/>
  <c r="J422" i="9"/>
  <c r="G422" i="9"/>
  <c r="I422" i="9"/>
  <c r="H422" i="9"/>
  <c r="F424" i="4"/>
  <c r="J423" i="4"/>
  <c r="I423" i="4"/>
  <c r="H423" i="4"/>
  <c r="G423" i="4"/>
  <c r="I424" i="4" l="1"/>
  <c r="H424" i="4"/>
  <c r="G424" i="4"/>
  <c r="F425" i="4"/>
  <c r="J424" i="4"/>
  <c r="I423" i="9"/>
  <c r="H423" i="9"/>
  <c r="F424" i="9"/>
  <c r="J423" i="9"/>
  <c r="G423" i="9"/>
  <c r="F424" i="8"/>
  <c r="J423" i="8"/>
  <c r="I423" i="8"/>
  <c r="H423" i="8"/>
  <c r="G423" i="8"/>
  <c r="H424" i="9" l="1"/>
  <c r="I424" i="9"/>
  <c r="F425" i="9"/>
  <c r="J424" i="9"/>
  <c r="G424" i="9"/>
  <c r="F426" i="4"/>
  <c r="J425" i="4"/>
  <c r="H425" i="4"/>
  <c r="I425" i="4"/>
  <c r="G425" i="4"/>
  <c r="G424" i="8"/>
  <c r="H424" i="8"/>
  <c r="F425" i="8"/>
  <c r="J424" i="8"/>
  <c r="I424" i="8"/>
  <c r="G426" i="4" l="1"/>
  <c r="F427" i="4"/>
  <c r="J426" i="4"/>
  <c r="I426" i="4"/>
  <c r="H426" i="4"/>
  <c r="F426" i="8"/>
  <c r="I425" i="8"/>
  <c r="J425" i="8"/>
  <c r="H425" i="8"/>
  <c r="G425" i="8"/>
  <c r="J425" i="9"/>
  <c r="F426" i="9"/>
  <c r="I425" i="9"/>
  <c r="H425" i="9"/>
  <c r="G425" i="9"/>
  <c r="H426" i="8" l="1"/>
  <c r="G426" i="8"/>
  <c r="F427" i="8"/>
  <c r="J426" i="8"/>
  <c r="I426" i="8"/>
  <c r="H427" i="4"/>
  <c r="G427" i="4"/>
  <c r="F428" i="4"/>
  <c r="J427" i="4"/>
  <c r="I427" i="4"/>
  <c r="F427" i="9"/>
  <c r="J426" i="9"/>
  <c r="I426" i="9"/>
  <c r="H426" i="9"/>
  <c r="G426" i="9"/>
  <c r="H427" i="9" l="1"/>
  <c r="G427" i="9"/>
  <c r="F428" i="9"/>
  <c r="J427" i="9"/>
  <c r="I427" i="9"/>
  <c r="F428" i="8"/>
  <c r="J427" i="8"/>
  <c r="I427" i="8"/>
  <c r="H427" i="8"/>
  <c r="G427" i="8"/>
  <c r="G428" i="4"/>
  <c r="F429" i="4"/>
  <c r="I428" i="4"/>
  <c r="H428" i="4"/>
  <c r="J428" i="4"/>
  <c r="I428" i="8" l="1"/>
  <c r="J428" i="8"/>
  <c r="F429" i="8"/>
  <c r="G428" i="8"/>
  <c r="H428" i="8"/>
  <c r="G429" i="4"/>
  <c r="F430" i="4"/>
  <c r="J429" i="4"/>
  <c r="H429" i="4"/>
  <c r="I429" i="4"/>
  <c r="F429" i="9"/>
  <c r="J428" i="9"/>
  <c r="I428" i="9"/>
  <c r="H428" i="9"/>
  <c r="G428" i="9"/>
  <c r="F430" i="9" l="1"/>
  <c r="I429" i="9"/>
  <c r="H429" i="9"/>
  <c r="G429" i="9"/>
  <c r="J429" i="9"/>
  <c r="J430" i="4"/>
  <c r="I430" i="4"/>
  <c r="H430" i="4"/>
  <c r="G430" i="4"/>
  <c r="F431" i="4"/>
  <c r="G429" i="8"/>
  <c r="I429" i="8"/>
  <c r="F430" i="8"/>
  <c r="J429" i="8"/>
  <c r="H429" i="8"/>
  <c r="I430" i="8" l="1"/>
  <c r="H430" i="8"/>
  <c r="F431" i="8"/>
  <c r="J430" i="8"/>
  <c r="G430" i="8"/>
  <c r="F432" i="4"/>
  <c r="H431" i="4"/>
  <c r="G431" i="4"/>
  <c r="J431" i="4"/>
  <c r="I431" i="4"/>
  <c r="J430" i="9"/>
  <c r="G430" i="9"/>
  <c r="F431" i="9"/>
  <c r="I430" i="9"/>
  <c r="H430" i="9"/>
  <c r="J432" i="4" l="1"/>
  <c r="I432" i="4"/>
  <c r="H432" i="4"/>
  <c r="F433" i="4"/>
  <c r="G432" i="4"/>
  <c r="H431" i="9"/>
  <c r="G431" i="9"/>
  <c r="J431" i="9"/>
  <c r="F432" i="9"/>
  <c r="I431" i="9"/>
  <c r="F432" i="8"/>
  <c r="J431" i="8"/>
  <c r="I431" i="8"/>
  <c r="H431" i="8"/>
  <c r="G431" i="8"/>
  <c r="F433" i="8" l="1"/>
  <c r="J432" i="8"/>
  <c r="H432" i="8"/>
  <c r="I432" i="8"/>
  <c r="G432" i="8"/>
  <c r="J432" i="9"/>
  <c r="I432" i="9"/>
  <c r="H432" i="9"/>
  <c r="G432" i="9"/>
  <c r="F433" i="9"/>
  <c r="G433" i="4"/>
  <c r="F434" i="4"/>
  <c r="J433" i="4"/>
  <c r="I433" i="4"/>
  <c r="H433" i="4"/>
  <c r="F435" i="4" l="1"/>
  <c r="I434" i="4"/>
  <c r="H434" i="4"/>
  <c r="J434" i="4"/>
  <c r="G434" i="4"/>
  <c r="I433" i="9"/>
  <c r="G433" i="9"/>
  <c r="F434" i="9"/>
  <c r="J433" i="9"/>
  <c r="H433" i="9"/>
  <c r="G433" i="8"/>
  <c r="F434" i="8"/>
  <c r="J433" i="8"/>
  <c r="I433" i="8"/>
  <c r="H433" i="8"/>
  <c r="F435" i="9" l="1"/>
  <c r="J434" i="9"/>
  <c r="G434" i="9"/>
  <c r="I434" i="9"/>
  <c r="H434" i="9"/>
  <c r="F435" i="8"/>
  <c r="J434" i="8"/>
  <c r="I434" i="8"/>
  <c r="H434" i="8"/>
  <c r="G434" i="8"/>
  <c r="I435" i="4"/>
  <c r="F436" i="4"/>
  <c r="J435" i="4"/>
  <c r="H435" i="4"/>
  <c r="G435" i="4"/>
  <c r="G436" i="4" l="1"/>
  <c r="J436" i="4"/>
  <c r="I436" i="4"/>
  <c r="H436" i="4"/>
  <c r="F437" i="4"/>
  <c r="F436" i="8"/>
  <c r="J435" i="8"/>
  <c r="I435" i="8"/>
  <c r="H435" i="8"/>
  <c r="G435" i="8"/>
  <c r="H435" i="9"/>
  <c r="G435" i="9"/>
  <c r="J435" i="9"/>
  <c r="I435" i="9"/>
  <c r="F436" i="9"/>
  <c r="J436" i="9" l="1"/>
  <c r="I436" i="9"/>
  <c r="G436" i="9"/>
  <c r="F437" i="9"/>
  <c r="H436" i="9"/>
  <c r="F437" i="8"/>
  <c r="J436" i="8"/>
  <c r="I436" i="8"/>
  <c r="H436" i="8"/>
  <c r="G436" i="8"/>
  <c r="G437" i="4"/>
  <c r="I437" i="4"/>
  <c r="H437" i="4"/>
  <c r="F438" i="4"/>
  <c r="J437" i="4"/>
  <c r="F439" i="4" l="1"/>
  <c r="I438" i="4"/>
  <c r="J438" i="4"/>
  <c r="G438" i="4"/>
  <c r="H438" i="4"/>
  <c r="F438" i="8"/>
  <c r="J437" i="8"/>
  <c r="I437" i="8"/>
  <c r="H437" i="8"/>
  <c r="G437" i="8"/>
  <c r="G437" i="9"/>
  <c r="F438" i="9"/>
  <c r="J437" i="9"/>
  <c r="H437" i="9"/>
  <c r="I437" i="9"/>
  <c r="I438" i="9" l="1"/>
  <c r="H438" i="9"/>
  <c r="G438" i="9"/>
  <c r="F439" i="9"/>
  <c r="J438" i="9"/>
  <c r="H438" i="8"/>
  <c r="I438" i="8"/>
  <c r="F439" i="8"/>
  <c r="J438" i="8"/>
  <c r="G438" i="8"/>
  <c r="H439" i="4"/>
  <c r="G439" i="4"/>
  <c r="I439" i="4"/>
  <c r="F440" i="4"/>
  <c r="J439" i="4"/>
  <c r="F441" i="4" l="1"/>
  <c r="J440" i="4"/>
  <c r="I440" i="4"/>
  <c r="H440" i="4"/>
  <c r="G440" i="4"/>
  <c r="F440" i="8"/>
  <c r="J439" i="8"/>
  <c r="I439" i="8"/>
  <c r="G439" i="8"/>
  <c r="H439" i="8"/>
  <c r="J439" i="9"/>
  <c r="I439" i="9"/>
  <c r="H439" i="9"/>
  <c r="G439" i="9"/>
  <c r="F440" i="9"/>
  <c r="G440" i="9" l="1"/>
  <c r="F441" i="9"/>
  <c r="H440" i="9"/>
  <c r="J440" i="9"/>
  <c r="I440" i="9"/>
  <c r="F441" i="8"/>
  <c r="J440" i="8"/>
  <c r="I440" i="8"/>
  <c r="H440" i="8"/>
  <c r="G440" i="8"/>
  <c r="F442" i="4"/>
  <c r="I441" i="4"/>
  <c r="H441" i="4"/>
  <c r="G441" i="4"/>
  <c r="J441" i="4"/>
  <c r="F442" i="8" l="1"/>
  <c r="J441" i="8"/>
  <c r="I441" i="8"/>
  <c r="H441" i="8"/>
  <c r="G441" i="8"/>
  <c r="F442" i="9"/>
  <c r="J441" i="9"/>
  <c r="I441" i="9"/>
  <c r="H441" i="9"/>
  <c r="G441" i="9"/>
  <c r="I442" i="4"/>
  <c r="F443" i="4"/>
  <c r="J442" i="4"/>
  <c r="H442" i="4"/>
  <c r="G442" i="4"/>
  <c r="F444" i="4" l="1"/>
  <c r="H443" i="4"/>
  <c r="G443" i="4"/>
  <c r="J443" i="4"/>
  <c r="I443" i="4"/>
  <c r="J442" i="9"/>
  <c r="F443" i="9"/>
  <c r="I442" i="9"/>
  <c r="H442" i="9"/>
  <c r="G442" i="9"/>
  <c r="J442" i="8"/>
  <c r="F443" i="8"/>
  <c r="I442" i="8"/>
  <c r="H442" i="8"/>
  <c r="G442" i="8"/>
  <c r="H443" i="8" l="1"/>
  <c r="G443" i="8"/>
  <c r="F444" i="8"/>
  <c r="J443" i="8"/>
  <c r="I443" i="8"/>
  <c r="I443" i="9"/>
  <c r="H443" i="9"/>
  <c r="G443" i="9"/>
  <c r="F444" i="9"/>
  <c r="J443" i="9"/>
  <c r="F445" i="4"/>
  <c r="J444" i="4"/>
  <c r="H444" i="4"/>
  <c r="I444" i="4"/>
  <c r="G444" i="4"/>
  <c r="F446" i="4" l="1"/>
  <c r="J445" i="4"/>
  <c r="I445" i="4"/>
  <c r="G445" i="4"/>
  <c r="H445" i="4"/>
  <c r="G444" i="9"/>
  <c r="J444" i="9"/>
  <c r="F445" i="9"/>
  <c r="I444" i="9"/>
  <c r="H444" i="9"/>
  <c r="G444" i="8"/>
  <c r="H444" i="8"/>
  <c r="J444" i="8"/>
  <c r="I444" i="8"/>
  <c r="F445" i="8"/>
  <c r="J445" i="9" l="1"/>
  <c r="I445" i="9"/>
  <c r="H445" i="9"/>
  <c r="G445" i="9"/>
  <c r="F446" i="9"/>
  <c r="F446" i="8"/>
  <c r="I445" i="8"/>
  <c r="H445" i="8"/>
  <c r="G445" i="8"/>
  <c r="J445" i="8"/>
  <c r="F447" i="4"/>
  <c r="J446" i="4"/>
  <c r="I446" i="4"/>
  <c r="H446" i="4"/>
  <c r="G446" i="4"/>
  <c r="F448" i="4" l="1"/>
  <c r="J447" i="4"/>
  <c r="I447" i="4"/>
  <c r="H447" i="4"/>
  <c r="G447" i="4"/>
  <c r="J446" i="8"/>
  <c r="I446" i="8"/>
  <c r="H446" i="8"/>
  <c r="F447" i="8"/>
  <c r="G446" i="8"/>
  <c r="H446" i="9"/>
  <c r="F447" i="9"/>
  <c r="J446" i="9"/>
  <c r="I446" i="9"/>
  <c r="G446" i="9"/>
  <c r="J447" i="9" l="1"/>
  <c r="F448" i="9"/>
  <c r="G447" i="9"/>
  <c r="I447" i="9"/>
  <c r="H447" i="9"/>
  <c r="F448" i="8"/>
  <c r="H447" i="8"/>
  <c r="G447" i="8"/>
  <c r="J447" i="8"/>
  <c r="I447" i="8"/>
  <c r="H448" i="4"/>
  <c r="F449" i="4"/>
  <c r="J448" i="4"/>
  <c r="I448" i="4"/>
  <c r="G448" i="4"/>
  <c r="F450" i="4" l="1"/>
  <c r="J449" i="4"/>
  <c r="I449" i="4"/>
  <c r="G449" i="4"/>
  <c r="H449" i="4"/>
  <c r="J448" i="9"/>
  <c r="I448" i="9"/>
  <c r="H448" i="9"/>
  <c r="F449" i="9"/>
  <c r="G448" i="9"/>
  <c r="F449" i="8"/>
  <c r="J448" i="8"/>
  <c r="I448" i="8"/>
  <c r="H448" i="8"/>
  <c r="G448" i="8"/>
  <c r="J449" i="8" l="1"/>
  <c r="I449" i="8"/>
  <c r="F450" i="8"/>
  <c r="H449" i="8"/>
  <c r="G449" i="8"/>
  <c r="F450" i="9"/>
  <c r="J449" i="9"/>
  <c r="H449" i="9"/>
  <c r="I449" i="9"/>
  <c r="G449" i="9"/>
  <c r="F451" i="4"/>
  <c r="J450" i="4"/>
  <c r="I450" i="4"/>
  <c r="H450" i="4"/>
  <c r="G450" i="4"/>
  <c r="J451" i="4" l="1"/>
  <c r="F452" i="4"/>
  <c r="G451" i="4"/>
  <c r="I451" i="4"/>
  <c r="H451" i="4"/>
  <c r="G450" i="9"/>
  <c r="J450" i="9"/>
  <c r="I450" i="9"/>
  <c r="F451" i="9"/>
  <c r="H450" i="9"/>
  <c r="F451" i="8"/>
  <c r="I450" i="8"/>
  <c r="J450" i="8"/>
  <c r="H450" i="8"/>
  <c r="G450" i="8"/>
  <c r="F452" i="8" l="1"/>
  <c r="J451" i="8"/>
  <c r="I451" i="8"/>
  <c r="H451" i="8"/>
  <c r="G451" i="8"/>
  <c r="F452" i="9"/>
  <c r="J451" i="9"/>
  <c r="I451" i="9"/>
  <c r="H451" i="9"/>
  <c r="G451" i="9"/>
  <c r="I452" i="4"/>
  <c r="H452" i="4"/>
  <c r="G452" i="4"/>
  <c r="F453" i="4"/>
  <c r="J452" i="4"/>
  <c r="J453" i="4" l="1"/>
  <c r="F454" i="4"/>
  <c r="I453" i="4"/>
  <c r="H453" i="4"/>
  <c r="G453" i="4"/>
  <c r="F453" i="9"/>
  <c r="J452" i="9"/>
  <c r="I452" i="9"/>
  <c r="H452" i="9"/>
  <c r="G452" i="9"/>
  <c r="J452" i="8"/>
  <c r="F453" i="8"/>
  <c r="I452" i="8"/>
  <c r="H452" i="8"/>
  <c r="G452" i="8"/>
  <c r="I453" i="8" l="1"/>
  <c r="H453" i="8"/>
  <c r="G453" i="8"/>
  <c r="F454" i="8"/>
  <c r="J453" i="8"/>
  <c r="F454" i="9"/>
  <c r="J453" i="9"/>
  <c r="I453" i="9"/>
  <c r="H453" i="9"/>
  <c r="G453" i="9"/>
  <c r="J454" i="4"/>
  <c r="H454" i="4"/>
  <c r="G454" i="4"/>
  <c r="F455" i="4"/>
  <c r="I454" i="4"/>
  <c r="F456" i="4" l="1"/>
  <c r="J455" i="4"/>
  <c r="I455" i="4"/>
  <c r="H455" i="4"/>
  <c r="G455" i="4"/>
  <c r="J454" i="9"/>
  <c r="F455" i="9"/>
  <c r="I454" i="9"/>
  <c r="H454" i="9"/>
  <c r="G454" i="9"/>
  <c r="H454" i="8"/>
  <c r="G454" i="8"/>
  <c r="J454" i="8"/>
  <c r="F455" i="8"/>
  <c r="I454" i="8"/>
  <c r="F456" i="8" l="1"/>
  <c r="I455" i="8"/>
  <c r="J455" i="8"/>
  <c r="H455" i="8"/>
  <c r="G455" i="8"/>
  <c r="F456" i="9"/>
  <c r="J455" i="9"/>
  <c r="H455" i="9"/>
  <c r="I455" i="9"/>
  <c r="G455" i="9"/>
  <c r="J456" i="4"/>
  <c r="I456" i="4"/>
  <c r="H456" i="4"/>
  <c r="G456" i="4"/>
  <c r="F457" i="4"/>
  <c r="G457" i="4" l="1"/>
  <c r="H457" i="4"/>
  <c r="I457" i="4"/>
  <c r="F458" i="4"/>
  <c r="J457" i="4"/>
  <c r="H456" i="9"/>
  <c r="J456" i="9"/>
  <c r="I456" i="9"/>
  <c r="F457" i="9"/>
  <c r="G456" i="9"/>
  <c r="G456" i="8"/>
  <c r="J456" i="8"/>
  <c r="F457" i="8"/>
  <c r="I456" i="8"/>
  <c r="H456" i="8"/>
  <c r="H457" i="8" l="1"/>
  <c r="J457" i="8"/>
  <c r="I457" i="8"/>
  <c r="G457" i="8"/>
  <c r="F458" i="8"/>
  <c r="G457" i="9"/>
  <c r="I457" i="9"/>
  <c r="H457" i="9"/>
  <c r="F458" i="9"/>
  <c r="J457" i="9"/>
  <c r="F459" i="4"/>
  <c r="J458" i="4"/>
  <c r="H458" i="4"/>
  <c r="I458" i="4"/>
  <c r="G458" i="4"/>
  <c r="G459" i="4" l="1"/>
  <c r="F460" i="4"/>
  <c r="J459" i="4"/>
  <c r="I459" i="4"/>
  <c r="H459" i="4"/>
  <c r="I458" i="9"/>
  <c r="H458" i="9"/>
  <c r="G458" i="9"/>
  <c r="F459" i="9"/>
  <c r="J458" i="9"/>
  <c r="F459" i="8"/>
  <c r="G458" i="8"/>
  <c r="I458" i="8"/>
  <c r="J458" i="8"/>
  <c r="H458" i="8"/>
  <c r="F460" i="8" l="1"/>
  <c r="I459" i="8"/>
  <c r="J459" i="8"/>
  <c r="H459" i="8"/>
  <c r="G459" i="8"/>
  <c r="H460" i="4"/>
  <c r="J460" i="4"/>
  <c r="I460" i="4"/>
  <c r="G460" i="4"/>
  <c r="F461" i="4"/>
  <c r="F460" i="9"/>
  <c r="J459" i="9"/>
  <c r="I459" i="9"/>
  <c r="H459" i="9"/>
  <c r="G459" i="9"/>
  <c r="G460" i="9" l="1"/>
  <c r="F461" i="9"/>
  <c r="J460" i="9"/>
  <c r="I460" i="9"/>
  <c r="H460" i="9"/>
  <c r="G461" i="4"/>
  <c r="F462" i="4"/>
  <c r="J461" i="4"/>
  <c r="H461" i="4"/>
  <c r="I461" i="4"/>
  <c r="H460" i="8"/>
  <c r="G460" i="8"/>
  <c r="I460" i="8"/>
  <c r="J460" i="8"/>
  <c r="F461" i="8"/>
  <c r="F462" i="8" l="1"/>
  <c r="J461" i="8"/>
  <c r="G461" i="8"/>
  <c r="I461" i="8"/>
  <c r="H461" i="8"/>
  <c r="J461" i="9"/>
  <c r="I461" i="9"/>
  <c r="G461" i="9"/>
  <c r="F462" i="9"/>
  <c r="H461" i="9"/>
  <c r="F463" i="4"/>
  <c r="J462" i="4"/>
  <c r="I462" i="4"/>
  <c r="H462" i="4"/>
  <c r="G462" i="4"/>
  <c r="F464" i="4" l="1"/>
  <c r="J463" i="4"/>
  <c r="G463" i="4"/>
  <c r="I463" i="4"/>
  <c r="H463" i="4"/>
  <c r="J462" i="9"/>
  <c r="I462" i="9"/>
  <c r="G462" i="9"/>
  <c r="F463" i="9"/>
  <c r="H462" i="9"/>
  <c r="I462" i="8"/>
  <c r="H462" i="8"/>
  <c r="F463" i="8"/>
  <c r="J462" i="8"/>
  <c r="G462" i="8"/>
  <c r="H463" i="9" l="1"/>
  <c r="G463" i="9"/>
  <c r="J463" i="9"/>
  <c r="I463" i="9"/>
  <c r="F464" i="9"/>
  <c r="I463" i="8"/>
  <c r="G463" i="8"/>
  <c r="F464" i="8"/>
  <c r="J463" i="8"/>
  <c r="H463" i="8"/>
  <c r="F465" i="4"/>
  <c r="I464" i="4"/>
  <c r="H464" i="4"/>
  <c r="G464" i="4"/>
  <c r="J464" i="4"/>
  <c r="J465" i="4" l="1"/>
  <c r="I465" i="4"/>
  <c r="H465" i="4"/>
  <c r="F466" i="4"/>
  <c r="G465" i="4"/>
  <c r="F465" i="8"/>
  <c r="J464" i="8"/>
  <c r="I464" i="8"/>
  <c r="H464" i="8"/>
  <c r="G464" i="8"/>
  <c r="I464" i="9"/>
  <c r="F465" i="9"/>
  <c r="J464" i="9"/>
  <c r="H464" i="9"/>
  <c r="G464" i="9"/>
  <c r="H465" i="8" l="1"/>
  <c r="G465" i="8"/>
  <c r="I465" i="8"/>
  <c r="J465" i="8"/>
  <c r="F466" i="8"/>
  <c r="F467" i="4"/>
  <c r="J466" i="4"/>
  <c r="I466" i="4"/>
  <c r="H466" i="4"/>
  <c r="G466" i="4"/>
  <c r="J465" i="9"/>
  <c r="I465" i="9"/>
  <c r="H465" i="9"/>
  <c r="G465" i="9"/>
  <c r="F466" i="9"/>
  <c r="F467" i="9" l="1"/>
  <c r="J466" i="9"/>
  <c r="G466" i="9"/>
  <c r="H466" i="9"/>
  <c r="I466" i="9"/>
  <c r="I467" i="4"/>
  <c r="J467" i="4"/>
  <c r="F468" i="4"/>
  <c r="H467" i="4"/>
  <c r="G467" i="4"/>
  <c r="F467" i="8"/>
  <c r="J466" i="8"/>
  <c r="H466" i="8"/>
  <c r="G466" i="8"/>
  <c r="I466" i="8"/>
  <c r="H468" i="4" l="1"/>
  <c r="J468" i="4"/>
  <c r="I468" i="4"/>
  <c r="G468" i="4"/>
  <c r="F469" i="4"/>
  <c r="G467" i="8"/>
  <c r="F468" i="8"/>
  <c r="J467" i="8"/>
  <c r="I467" i="8"/>
  <c r="H467" i="8"/>
  <c r="H467" i="9"/>
  <c r="G467" i="9"/>
  <c r="F468" i="9"/>
  <c r="J467" i="9"/>
  <c r="I467" i="9"/>
  <c r="F469" i="8" l="1"/>
  <c r="J468" i="8"/>
  <c r="H468" i="8"/>
  <c r="G468" i="8"/>
  <c r="I468" i="8"/>
  <c r="F469" i="9"/>
  <c r="J468" i="9"/>
  <c r="I468" i="9"/>
  <c r="H468" i="9"/>
  <c r="G468" i="9"/>
  <c r="H469" i="4"/>
  <c r="G469" i="4"/>
  <c r="I469" i="4"/>
  <c r="F470" i="4"/>
  <c r="J469" i="4"/>
  <c r="G469" i="9" l="1"/>
  <c r="F470" i="9"/>
  <c r="J469" i="9"/>
  <c r="H469" i="9"/>
  <c r="I469" i="9"/>
  <c r="F471" i="4"/>
  <c r="J470" i="4"/>
  <c r="I470" i="4"/>
  <c r="H470" i="4"/>
  <c r="G470" i="4"/>
  <c r="H469" i="8"/>
  <c r="G469" i="8"/>
  <c r="F470" i="8"/>
  <c r="J469" i="8"/>
  <c r="I469" i="8"/>
  <c r="H470" i="8" l="1"/>
  <c r="G470" i="8"/>
  <c r="F471" i="8"/>
  <c r="J470" i="8"/>
  <c r="I470" i="8"/>
  <c r="F471" i="9"/>
  <c r="J470" i="9"/>
  <c r="I470" i="9"/>
  <c r="H470" i="9"/>
  <c r="G470" i="9"/>
  <c r="F472" i="4"/>
  <c r="I471" i="4"/>
  <c r="J471" i="4"/>
  <c r="G471" i="4"/>
  <c r="H471" i="4"/>
  <c r="H472" i="4" l="1"/>
  <c r="G472" i="4"/>
  <c r="F473" i="4"/>
  <c r="J472" i="4"/>
  <c r="I472" i="4"/>
  <c r="H471" i="9"/>
  <c r="G471" i="9"/>
  <c r="I471" i="9"/>
  <c r="F472" i="9"/>
  <c r="J471" i="9"/>
  <c r="F472" i="8"/>
  <c r="J471" i="8"/>
  <c r="I471" i="8"/>
  <c r="H471" i="8"/>
  <c r="G471" i="8"/>
  <c r="G472" i="8" l="1"/>
  <c r="H472" i="8"/>
  <c r="F473" i="8"/>
  <c r="I472" i="8"/>
  <c r="J472" i="8"/>
  <c r="I472" i="9"/>
  <c r="F473" i="9"/>
  <c r="G472" i="9"/>
  <c r="J472" i="9"/>
  <c r="H472" i="9"/>
  <c r="F474" i="4"/>
  <c r="G473" i="4"/>
  <c r="J473" i="4"/>
  <c r="I473" i="4"/>
  <c r="H473" i="4"/>
  <c r="H474" i="4" l="1"/>
  <c r="G474" i="4"/>
  <c r="F475" i="4"/>
  <c r="J474" i="4"/>
  <c r="I474" i="4"/>
  <c r="F474" i="9"/>
  <c r="G473" i="9"/>
  <c r="J473" i="9"/>
  <c r="I473" i="9"/>
  <c r="H473" i="9"/>
  <c r="F474" i="8"/>
  <c r="J473" i="8"/>
  <c r="I473" i="8"/>
  <c r="G473" i="8"/>
  <c r="H473" i="8"/>
  <c r="G474" i="8" l="1"/>
  <c r="F475" i="8"/>
  <c r="H474" i="8"/>
  <c r="J474" i="8"/>
  <c r="I474" i="8"/>
  <c r="I474" i="9"/>
  <c r="H474" i="9"/>
  <c r="G474" i="9"/>
  <c r="F475" i="9"/>
  <c r="J474" i="9"/>
  <c r="F476" i="4"/>
  <c r="J475" i="4"/>
  <c r="I475" i="4"/>
  <c r="H475" i="4"/>
  <c r="G475" i="4"/>
  <c r="H475" i="8" l="1"/>
  <c r="G475" i="8"/>
  <c r="F476" i="8"/>
  <c r="J475" i="8"/>
  <c r="I475" i="8"/>
  <c r="J476" i="4"/>
  <c r="I476" i="4"/>
  <c r="G476" i="4"/>
  <c r="H476" i="4"/>
  <c r="F477" i="4"/>
  <c r="I475" i="9"/>
  <c r="F476" i="9"/>
  <c r="G475" i="9"/>
  <c r="H475" i="9"/>
  <c r="J475" i="9"/>
  <c r="I476" i="9" l="1"/>
  <c r="H476" i="9"/>
  <c r="G476" i="9"/>
  <c r="F477" i="9"/>
  <c r="J476" i="9"/>
  <c r="J477" i="4"/>
  <c r="F478" i="4"/>
  <c r="G477" i="4"/>
  <c r="I477" i="4"/>
  <c r="H477" i="4"/>
  <c r="I476" i="8"/>
  <c r="H476" i="8"/>
  <c r="G476" i="8"/>
  <c r="F477" i="8"/>
  <c r="J476" i="8"/>
  <c r="J477" i="9" l="1"/>
  <c r="I477" i="9"/>
  <c r="H477" i="9"/>
  <c r="G477" i="9"/>
  <c r="F478" i="9"/>
  <c r="G477" i="8"/>
  <c r="H477" i="8"/>
  <c r="F478" i="8"/>
  <c r="J477" i="8"/>
  <c r="I477" i="8"/>
  <c r="F479" i="4"/>
  <c r="J478" i="4"/>
  <c r="I478" i="4"/>
  <c r="G478" i="4"/>
  <c r="H478" i="4"/>
  <c r="F480" i="4" l="1"/>
  <c r="J479" i="4"/>
  <c r="I479" i="4"/>
  <c r="H479" i="4"/>
  <c r="G479" i="4"/>
  <c r="J478" i="8"/>
  <c r="G478" i="8"/>
  <c r="I478" i="8"/>
  <c r="H478" i="8"/>
  <c r="F479" i="8"/>
  <c r="F479" i="9"/>
  <c r="J478" i="9"/>
  <c r="I478" i="9"/>
  <c r="H478" i="9"/>
  <c r="G478" i="9"/>
  <c r="F480" i="8" l="1"/>
  <c r="I479" i="8"/>
  <c r="H479" i="8"/>
  <c r="G479" i="8"/>
  <c r="J479" i="8"/>
  <c r="J479" i="9"/>
  <c r="F480" i="9"/>
  <c r="I479" i="9"/>
  <c r="H479" i="9"/>
  <c r="G479" i="9"/>
  <c r="H480" i="4"/>
  <c r="F481" i="4"/>
  <c r="J480" i="4"/>
  <c r="I480" i="4"/>
  <c r="G480" i="4"/>
  <c r="G481" i="4" l="1"/>
  <c r="H481" i="4"/>
  <c r="J481" i="4"/>
  <c r="F482" i="4"/>
  <c r="I481" i="4"/>
  <c r="I480" i="9"/>
  <c r="F481" i="9"/>
  <c r="J480" i="9"/>
  <c r="G480" i="9"/>
  <c r="H480" i="9"/>
  <c r="J480" i="8"/>
  <c r="I480" i="8"/>
  <c r="H480" i="8"/>
  <c r="F481" i="8"/>
  <c r="G480" i="8"/>
  <c r="F482" i="9" l="1"/>
  <c r="J481" i="9"/>
  <c r="I481" i="9"/>
  <c r="H481" i="9"/>
  <c r="G481" i="9"/>
  <c r="J481" i="8"/>
  <c r="I481" i="8"/>
  <c r="F482" i="8"/>
  <c r="H481" i="8"/>
  <c r="G481" i="8"/>
  <c r="F483" i="4"/>
  <c r="J482" i="4"/>
  <c r="I482" i="4"/>
  <c r="H482" i="4"/>
  <c r="G482" i="4"/>
  <c r="G482" i="8" l="1"/>
  <c r="H482" i="8"/>
  <c r="J482" i="8"/>
  <c r="I482" i="8"/>
  <c r="F483" i="8"/>
  <c r="F484" i="4"/>
  <c r="G483" i="4"/>
  <c r="J483" i="4"/>
  <c r="I483" i="4"/>
  <c r="H483" i="4"/>
  <c r="F483" i="9"/>
  <c r="I482" i="9"/>
  <c r="J482" i="9"/>
  <c r="H482" i="9"/>
  <c r="G482" i="9"/>
  <c r="G483" i="9" l="1"/>
  <c r="I483" i="9"/>
  <c r="F484" i="9"/>
  <c r="H483" i="9"/>
  <c r="J483" i="9"/>
  <c r="J484" i="4"/>
  <c r="G484" i="4"/>
  <c r="H484" i="4"/>
  <c r="F485" i="4"/>
  <c r="I484" i="4"/>
  <c r="F484" i="8"/>
  <c r="J483" i="8"/>
  <c r="I483" i="8"/>
  <c r="H483" i="8"/>
  <c r="G483" i="8"/>
  <c r="I484" i="8" l="1"/>
  <c r="H484" i="8"/>
  <c r="G484" i="8"/>
  <c r="F485" i="8"/>
  <c r="J484" i="8"/>
  <c r="I485" i="4"/>
  <c r="H485" i="4"/>
  <c r="G485" i="4"/>
  <c r="F486" i="4"/>
  <c r="J485" i="4"/>
  <c r="I484" i="9"/>
  <c r="F485" i="9"/>
  <c r="J484" i="9"/>
  <c r="H484" i="9"/>
  <c r="G484" i="9"/>
  <c r="J485" i="9" l="1"/>
  <c r="I485" i="9"/>
  <c r="H485" i="9"/>
  <c r="G485" i="9"/>
  <c r="F486" i="9"/>
  <c r="J486" i="4"/>
  <c r="I486" i="4"/>
  <c r="H486" i="4"/>
  <c r="G486" i="4"/>
  <c r="F487" i="4"/>
  <c r="J485" i="8"/>
  <c r="I485" i="8"/>
  <c r="F486" i="8"/>
  <c r="H485" i="8"/>
  <c r="G485" i="8"/>
  <c r="J486" i="8" l="1"/>
  <c r="G486" i="8"/>
  <c r="I486" i="8"/>
  <c r="H486" i="8"/>
  <c r="F487" i="8"/>
  <c r="G487" i="4"/>
  <c r="F488" i="4"/>
  <c r="J487" i="4"/>
  <c r="I487" i="4"/>
  <c r="H487" i="4"/>
  <c r="J486" i="9"/>
  <c r="F487" i="9"/>
  <c r="I486" i="9"/>
  <c r="H486" i="9"/>
  <c r="G486" i="9"/>
  <c r="F489" i="4" l="1"/>
  <c r="J488" i="4"/>
  <c r="I488" i="4"/>
  <c r="H488" i="4"/>
  <c r="G488" i="4"/>
  <c r="F488" i="9"/>
  <c r="J487" i="9"/>
  <c r="I487" i="9"/>
  <c r="G487" i="9"/>
  <c r="H487" i="9"/>
  <c r="F488" i="8"/>
  <c r="I487" i="8"/>
  <c r="H487" i="8"/>
  <c r="G487" i="8"/>
  <c r="J487" i="8"/>
  <c r="G488" i="8" l="1"/>
  <c r="J488" i="8"/>
  <c r="I488" i="8"/>
  <c r="F489" i="8"/>
  <c r="H488" i="8"/>
  <c r="H488" i="9"/>
  <c r="F489" i="9"/>
  <c r="J488" i="9"/>
  <c r="I488" i="9"/>
  <c r="G488" i="9"/>
  <c r="F490" i="4"/>
  <c r="J489" i="4"/>
  <c r="I489" i="4"/>
  <c r="H489" i="4"/>
  <c r="G489" i="4"/>
  <c r="J490" i="4" l="1"/>
  <c r="F491" i="4"/>
  <c r="I490" i="4"/>
  <c r="G490" i="4"/>
  <c r="H490" i="4"/>
  <c r="J489" i="9"/>
  <c r="I489" i="9"/>
  <c r="G489" i="9"/>
  <c r="H489" i="9"/>
  <c r="F490" i="9"/>
  <c r="F490" i="8"/>
  <c r="J489" i="8"/>
  <c r="H489" i="8"/>
  <c r="I489" i="8"/>
  <c r="G489" i="8"/>
  <c r="J490" i="8" l="1"/>
  <c r="F491" i="8"/>
  <c r="I490" i="8"/>
  <c r="H490" i="8"/>
  <c r="G490" i="8"/>
  <c r="G490" i="9"/>
  <c r="F491" i="9"/>
  <c r="I490" i="9"/>
  <c r="H490" i="9"/>
  <c r="J490" i="9"/>
  <c r="F492" i="4"/>
  <c r="J491" i="4"/>
  <c r="H491" i="4"/>
  <c r="I491" i="4"/>
  <c r="G491" i="4"/>
  <c r="H491" i="9" l="1"/>
  <c r="I491" i="9"/>
  <c r="G491" i="9"/>
  <c r="J491" i="9"/>
  <c r="F492" i="9"/>
  <c r="G492" i="4"/>
  <c r="H492" i="4"/>
  <c r="F493" i="4"/>
  <c r="J492" i="4"/>
  <c r="I492" i="4"/>
  <c r="F492" i="8"/>
  <c r="J491" i="8"/>
  <c r="I491" i="8"/>
  <c r="G491" i="8"/>
  <c r="H491" i="8"/>
  <c r="H492" i="8" l="1"/>
  <c r="G492" i="8"/>
  <c r="F493" i="8"/>
  <c r="J492" i="8"/>
  <c r="I492" i="8"/>
  <c r="G493" i="4"/>
  <c r="F494" i="4"/>
  <c r="J493" i="4"/>
  <c r="I493" i="4"/>
  <c r="H493" i="4"/>
  <c r="I492" i="9"/>
  <c r="F493" i="9"/>
  <c r="G492" i="9"/>
  <c r="J492" i="9"/>
  <c r="H492" i="9"/>
  <c r="J493" i="9" l="1"/>
  <c r="I493" i="9"/>
  <c r="H493" i="9"/>
  <c r="G493" i="9"/>
  <c r="F494" i="9"/>
  <c r="F495" i="4"/>
  <c r="J494" i="4"/>
  <c r="G494" i="4"/>
  <c r="I494" i="4"/>
  <c r="H494" i="4"/>
  <c r="F494" i="8"/>
  <c r="I493" i="8"/>
  <c r="J493" i="8"/>
  <c r="H493" i="8"/>
  <c r="G493" i="8"/>
  <c r="I494" i="8" l="1"/>
  <c r="H494" i="8"/>
  <c r="J494" i="8"/>
  <c r="G494" i="8"/>
  <c r="F495" i="8"/>
  <c r="F496" i="4"/>
  <c r="J495" i="4"/>
  <c r="I495" i="4"/>
  <c r="H495" i="4"/>
  <c r="G495" i="4"/>
  <c r="J494" i="9"/>
  <c r="F495" i="9"/>
  <c r="I494" i="9"/>
  <c r="H494" i="9"/>
  <c r="G494" i="9"/>
  <c r="J495" i="9" l="1"/>
  <c r="F496" i="9"/>
  <c r="H495" i="9"/>
  <c r="I495" i="9"/>
  <c r="G495" i="9"/>
  <c r="J496" i="4"/>
  <c r="I496" i="4"/>
  <c r="G496" i="4"/>
  <c r="H496" i="4"/>
  <c r="F497" i="4"/>
  <c r="J495" i="8"/>
  <c r="I495" i="8"/>
  <c r="H495" i="8"/>
  <c r="G495" i="8"/>
  <c r="F496" i="8"/>
  <c r="F498" i="4" l="1"/>
  <c r="H497" i="4"/>
  <c r="J497" i="4"/>
  <c r="I497" i="4"/>
  <c r="G497" i="4"/>
  <c r="G496" i="8"/>
  <c r="I496" i="8"/>
  <c r="H496" i="8"/>
  <c r="J496" i="8"/>
  <c r="F497" i="8"/>
  <c r="H496" i="9"/>
  <c r="G496" i="9"/>
  <c r="F497" i="9"/>
  <c r="J496" i="9"/>
  <c r="I496" i="9"/>
  <c r="H497" i="9" l="1"/>
  <c r="G497" i="9"/>
  <c r="F498" i="9"/>
  <c r="J497" i="9"/>
  <c r="I497" i="9"/>
  <c r="I497" i="8"/>
  <c r="J497" i="8"/>
  <c r="G497" i="8"/>
  <c r="F498" i="8"/>
  <c r="H497" i="8"/>
  <c r="J498" i="4"/>
  <c r="I498" i="4"/>
  <c r="H498" i="4"/>
  <c r="F499" i="4"/>
  <c r="G498" i="4"/>
  <c r="I499" i="4" l="1"/>
  <c r="F500" i="4"/>
  <c r="J499" i="4"/>
  <c r="H499" i="4"/>
  <c r="G499" i="4"/>
  <c r="H498" i="8"/>
  <c r="F499" i="8"/>
  <c r="J498" i="8"/>
  <c r="I498" i="8"/>
  <c r="G498" i="8"/>
  <c r="G498" i="9"/>
  <c r="J498" i="9"/>
  <c r="I498" i="9"/>
  <c r="H498" i="9"/>
  <c r="F499" i="9"/>
  <c r="F500" i="8" l="1"/>
  <c r="J499" i="8"/>
  <c r="I499" i="8"/>
  <c r="H499" i="8"/>
  <c r="G499" i="8"/>
  <c r="I499" i="9"/>
  <c r="H499" i="9"/>
  <c r="G499" i="9"/>
  <c r="F500" i="9"/>
  <c r="J499" i="9"/>
  <c r="F501" i="4"/>
  <c r="J500" i="4"/>
  <c r="I500" i="4"/>
  <c r="H500" i="4"/>
  <c r="G500" i="4"/>
  <c r="J501" i="4" l="1"/>
  <c r="G501" i="4"/>
  <c r="F502" i="4"/>
  <c r="I501" i="4"/>
  <c r="H501" i="4"/>
  <c r="J500" i="9"/>
  <c r="H500" i="9"/>
  <c r="G500" i="9"/>
  <c r="F501" i="9"/>
  <c r="I500" i="9"/>
  <c r="F501" i="8"/>
  <c r="J500" i="8"/>
  <c r="I500" i="8"/>
  <c r="H500" i="8"/>
  <c r="G500" i="8"/>
  <c r="J501" i="8" l="1"/>
  <c r="I501" i="8"/>
  <c r="H501" i="8"/>
  <c r="F502" i="8"/>
  <c r="G501" i="8"/>
  <c r="G501" i="9"/>
  <c r="F502" i="9"/>
  <c r="J501" i="9"/>
  <c r="I501" i="9"/>
  <c r="H501" i="9"/>
  <c r="I502" i="4"/>
  <c r="F503" i="4"/>
  <c r="J502" i="4"/>
  <c r="H502" i="4"/>
  <c r="G502" i="4"/>
  <c r="F504" i="4" l="1"/>
  <c r="J503" i="4"/>
  <c r="H503" i="4"/>
  <c r="G503" i="4"/>
  <c r="I503" i="4"/>
  <c r="F503" i="9"/>
  <c r="J502" i="9"/>
  <c r="H502" i="9"/>
  <c r="G502" i="9"/>
  <c r="I502" i="9"/>
  <c r="H502" i="8"/>
  <c r="G502" i="8"/>
  <c r="F503" i="8"/>
  <c r="J502" i="8"/>
  <c r="I502" i="8"/>
  <c r="F504" i="8" l="1"/>
  <c r="I503" i="8"/>
  <c r="H503" i="8"/>
  <c r="G503" i="8"/>
  <c r="J503" i="8"/>
  <c r="F504" i="9"/>
  <c r="J503" i="9"/>
  <c r="I503" i="9"/>
  <c r="G503" i="9"/>
  <c r="H503" i="9"/>
  <c r="F505" i="4"/>
  <c r="I504" i="4"/>
  <c r="J504" i="4"/>
  <c r="H504" i="4"/>
  <c r="G504" i="4"/>
  <c r="F506" i="4" l="1"/>
  <c r="H505" i="4"/>
  <c r="G505" i="4"/>
  <c r="J505" i="4"/>
  <c r="I505" i="4"/>
  <c r="G504" i="9"/>
  <c r="H504" i="9"/>
  <c r="F505" i="9"/>
  <c r="J504" i="9"/>
  <c r="I504" i="9"/>
  <c r="H504" i="8"/>
  <c r="J504" i="8"/>
  <c r="I504" i="8"/>
  <c r="G504" i="8"/>
  <c r="F505" i="8"/>
  <c r="I505" i="8" l="1"/>
  <c r="F506" i="8"/>
  <c r="J505" i="8"/>
  <c r="H505" i="8"/>
  <c r="G505" i="8"/>
  <c r="I505" i="9"/>
  <c r="H505" i="9"/>
  <c r="G505" i="9"/>
  <c r="F506" i="9"/>
  <c r="J505" i="9"/>
  <c r="J506" i="4"/>
  <c r="I506" i="4"/>
  <c r="H506" i="4"/>
  <c r="G506" i="4"/>
  <c r="F507" i="4"/>
  <c r="H507" i="4" l="1"/>
  <c r="G507" i="4"/>
  <c r="F508" i="4"/>
  <c r="J507" i="4"/>
  <c r="I507" i="4"/>
  <c r="G506" i="9"/>
  <c r="J506" i="9"/>
  <c r="F507" i="9"/>
  <c r="I506" i="9"/>
  <c r="H506" i="9"/>
  <c r="H506" i="8"/>
  <c r="G506" i="8"/>
  <c r="F507" i="8"/>
  <c r="J506" i="8"/>
  <c r="I506" i="8"/>
  <c r="H507" i="8" l="1"/>
  <c r="G507" i="8"/>
  <c r="F508" i="8"/>
  <c r="J507" i="8"/>
  <c r="I507" i="8"/>
  <c r="I507" i="9"/>
  <c r="F508" i="9"/>
  <c r="J507" i="9"/>
  <c r="H507" i="9"/>
  <c r="G507" i="9"/>
  <c r="J508" i="4"/>
  <c r="H508" i="4"/>
  <c r="I508" i="4"/>
  <c r="F509" i="4"/>
  <c r="G508" i="4"/>
  <c r="F509" i="9" l="1"/>
  <c r="G508" i="9"/>
  <c r="J508" i="9"/>
  <c r="H508" i="9"/>
  <c r="I508" i="9"/>
  <c r="H509" i="4"/>
  <c r="F510" i="4"/>
  <c r="J509" i="4"/>
  <c r="G509" i="4"/>
  <c r="I509" i="4"/>
  <c r="J508" i="8"/>
  <c r="I508" i="8"/>
  <c r="H508" i="8"/>
  <c r="F509" i="8"/>
  <c r="G508" i="8"/>
  <c r="I509" i="8" l="1"/>
  <c r="H509" i="8"/>
  <c r="G509" i="8"/>
  <c r="F510" i="8"/>
  <c r="J509" i="8"/>
  <c r="I510" i="4"/>
  <c r="F511" i="4"/>
  <c r="J510" i="4"/>
  <c r="H510" i="4"/>
  <c r="G510" i="4"/>
  <c r="I509" i="9"/>
  <c r="H509" i="9"/>
  <c r="F510" i="9"/>
  <c r="J509" i="9"/>
  <c r="G509" i="9"/>
  <c r="F511" i="9" l="1"/>
  <c r="J510" i="9"/>
  <c r="I510" i="9"/>
  <c r="H510" i="9"/>
  <c r="G510" i="9"/>
  <c r="F511" i="8"/>
  <c r="J510" i="8"/>
  <c r="I510" i="8"/>
  <c r="H510" i="8"/>
  <c r="G510" i="8"/>
  <c r="F512" i="4"/>
  <c r="J511" i="4"/>
  <c r="I511" i="4"/>
  <c r="G511" i="4"/>
  <c r="H511" i="4"/>
  <c r="H512" i="4" l="1"/>
  <c r="F513" i="4"/>
  <c r="J512" i="4"/>
  <c r="I512" i="4"/>
  <c r="G512" i="4"/>
  <c r="J511" i="8"/>
  <c r="G511" i="8"/>
  <c r="F512" i="8"/>
  <c r="I511" i="8"/>
  <c r="H511" i="8"/>
  <c r="H511" i="9"/>
  <c r="G511" i="9"/>
  <c r="F512" i="9"/>
  <c r="J511" i="9"/>
  <c r="I511" i="9"/>
  <c r="F513" i="9" l="1"/>
  <c r="I512" i="9"/>
  <c r="H512" i="9"/>
  <c r="G512" i="9"/>
  <c r="J512" i="9"/>
  <c r="H512" i="8"/>
  <c r="G512" i="8"/>
  <c r="I512" i="8"/>
  <c r="F513" i="8"/>
  <c r="J512" i="8"/>
  <c r="H513" i="4"/>
  <c r="G513" i="4"/>
  <c r="F514" i="4"/>
  <c r="J513" i="4"/>
  <c r="I513" i="4"/>
  <c r="J514" i="4" l="1"/>
  <c r="I514" i="4"/>
  <c r="F515" i="4"/>
  <c r="G514" i="4"/>
  <c r="H514" i="4"/>
  <c r="F514" i="8"/>
  <c r="J513" i="8"/>
  <c r="G513" i="8"/>
  <c r="I513" i="8"/>
  <c r="H513" i="8"/>
  <c r="F514" i="9"/>
  <c r="I513" i="9"/>
  <c r="G513" i="9"/>
  <c r="J513" i="9"/>
  <c r="H513" i="9"/>
  <c r="H514" i="9" l="1"/>
  <c r="G514" i="9"/>
  <c r="I514" i="9"/>
  <c r="F515" i="9"/>
  <c r="J514" i="9"/>
  <c r="G514" i="8"/>
  <c r="F515" i="8"/>
  <c r="J514" i="8"/>
  <c r="I514" i="8"/>
  <c r="H514" i="8"/>
  <c r="F516" i="4"/>
  <c r="J515" i="4"/>
  <c r="I515" i="4"/>
  <c r="H515" i="4"/>
  <c r="G515" i="4"/>
  <c r="F516" i="8" l="1"/>
  <c r="J515" i="8"/>
  <c r="I515" i="8"/>
  <c r="G515" i="8"/>
  <c r="H515" i="8"/>
  <c r="I516" i="4"/>
  <c r="G516" i="4"/>
  <c r="F517" i="4"/>
  <c r="H516" i="4"/>
  <c r="J516" i="4"/>
  <c r="F516" i="9"/>
  <c r="I515" i="9"/>
  <c r="J515" i="9"/>
  <c r="G515" i="9"/>
  <c r="H515" i="9"/>
  <c r="G516" i="9" l="1"/>
  <c r="H516" i="9"/>
  <c r="F517" i="9"/>
  <c r="J516" i="9"/>
  <c r="I516" i="9"/>
  <c r="J517" i="4"/>
  <c r="H517" i="4"/>
  <c r="G517" i="4"/>
  <c r="F518" i="4"/>
  <c r="I517" i="4"/>
  <c r="F517" i="8"/>
  <c r="I516" i="8"/>
  <c r="H516" i="8"/>
  <c r="G516" i="8"/>
  <c r="J516" i="8"/>
  <c r="J517" i="8" l="1"/>
  <c r="I517" i="8"/>
  <c r="H517" i="8"/>
  <c r="G517" i="8"/>
  <c r="F518" i="8"/>
  <c r="J518" i="4"/>
  <c r="I518" i="4"/>
  <c r="H518" i="4"/>
  <c r="G518" i="4"/>
  <c r="F519" i="4"/>
  <c r="F518" i="9"/>
  <c r="I517" i="9"/>
  <c r="H517" i="9"/>
  <c r="G517" i="9"/>
  <c r="J517" i="9"/>
  <c r="I518" i="9" l="1"/>
  <c r="H518" i="9"/>
  <c r="G518" i="9"/>
  <c r="F519" i="9"/>
  <c r="J518" i="9"/>
  <c r="F520" i="4"/>
  <c r="H519" i="4"/>
  <c r="G519" i="4"/>
  <c r="J519" i="4"/>
  <c r="I519" i="4"/>
  <c r="G518" i="8"/>
  <c r="H518" i="8"/>
  <c r="F519" i="8"/>
  <c r="J518" i="8"/>
  <c r="I518" i="8"/>
  <c r="G519" i="8" l="1"/>
  <c r="F520" i="8"/>
  <c r="J519" i="8"/>
  <c r="I519" i="8"/>
  <c r="H519" i="8"/>
  <c r="F521" i="4"/>
  <c r="J520" i="4"/>
  <c r="I520" i="4"/>
  <c r="H520" i="4"/>
  <c r="G520" i="4"/>
  <c r="H519" i="9"/>
  <c r="G519" i="9"/>
  <c r="I519" i="9"/>
  <c r="F520" i="9"/>
  <c r="J519" i="9"/>
  <c r="H520" i="9" l="1"/>
  <c r="F521" i="9"/>
  <c r="J520" i="9"/>
  <c r="I520" i="9"/>
  <c r="G520" i="9"/>
  <c r="F522" i="4"/>
  <c r="G521" i="4"/>
  <c r="J521" i="4"/>
  <c r="I521" i="4"/>
  <c r="H521" i="4"/>
  <c r="I520" i="8"/>
  <c r="H520" i="8"/>
  <c r="F521" i="8"/>
  <c r="J520" i="8"/>
  <c r="G520" i="8"/>
  <c r="I521" i="8" l="1"/>
  <c r="H521" i="8"/>
  <c r="G521" i="8"/>
  <c r="J521" i="8"/>
  <c r="F522" i="8"/>
  <c r="G522" i="4"/>
  <c r="F523" i="4"/>
  <c r="J522" i="4"/>
  <c r="I522" i="4"/>
  <c r="H522" i="4"/>
  <c r="G521" i="9"/>
  <c r="F522" i="9"/>
  <c r="J521" i="9"/>
  <c r="I521" i="9"/>
  <c r="H521" i="9"/>
  <c r="J522" i="9" l="1"/>
  <c r="I522" i="9"/>
  <c r="G522" i="9"/>
  <c r="F523" i="9"/>
  <c r="H522" i="9"/>
  <c r="F523" i="8"/>
  <c r="J522" i="8"/>
  <c r="H522" i="8"/>
  <c r="I522" i="8"/>
  <c r="G522" i="8"/>
  <c r="J523" i="4"/>
  <c r="I523" i="4"/>
  <c r="G523" i="4"/>
  <c r="F524" i="4"/>
  <c r="H523" i="4"/>
  <c r="F525" i="4" l="1"/>
  <c r="J524" i="4"/>
  <c r="H524" i="4"/>
  <c r="I524" i="4"/>
  <c r="G524" i="4"/>
  <c r="G523" i="8"/>
  <c r="J523" i="8"/>
  <c r="I523" i="8"/>
  <c r="H523" i="8"/>
  <c r="F524" i="8"/>
  <c r="F524" i="9"/>
  <c r="I523" i="9"/>
  <c r="J523" i="9"/>
  <c r="H523" i="9"/>
  <c r="G523" i="9"/>
  <c r="H524" i="9" l="1"/>
  <c r="I524" i="9"/>
  <c r="G524" i="9"/>
  <c r="F525" i="9"/>
  <c r="J524" i="9"/>
  <c r="I524" i="8"/>
  <c r="G524" i="8"/>
  <c r="F525" i="8"/>
  <c r="J524" i="8"/>
  <c r="H524" i="8"/>
  <c r="G525" i="4"/>
  <c r="H525" i="4"/>
  <c r="F526" i="4"/>
  <c r="J525" i="4"/>
  <c r="I525" i="4"/>
  <c r="H526" i="4" l="1"/>
  <c r="G526" i="4"/>
  <c r="F527" i="4"/>
  <c r="J526" i="4"/>
  <c r="I526" i="4"/>
  <c r="H525" i="8"/>
  <c r="F526" i="8"/>
  <c r="J525" i="8"/>
  <c r="I525" i="8"/>
  <c r="G525" i="8"/>
  <c r="J525" i="9"/>
  <c r="I525" i="9"/>
  <c r="H525" i="9"/>
  <c r="G525" i="9"/>
  <c r="F526" i="9"/>
  <c r="J526" i="9" l="1"/>
  <c r="F527" i="9"/>
  <c r="H526" i="9"/>
  <c r="I526" i="9"/>
  <c r="G526" i="9"/>
  <c r="F527" i="8"/>
  <c r="H526" i="8"/>
  <c r="I526" i="8"/>
  <c r="G526" i="8"/>
  <c r="J526" i="8"/>
  <c r="J527" i="4"/>
  <c r="F528" i="4"/>
  <c r="I527" i="4"/>
  <c r="G527" i="4"/>
  <c r="H527" i="4"/>
  <c r="F529" i="4" l="1"/>
  <c r="J528" i="4"/>
  <c r="I528" i="4"/>
  <c r="H528" i="4"/>
  <c r="G528" i="4"/>
  <c r="G527" i="8"/>
  <c r="J527" i="8"/>
  <c r="F528" i="8"/>
  <c r="I527" i="8"/>
  <c r="H527" i="8"/>
  <c r="I527" i="9"/>
  <c r="H527" i="9"/>
  <c r="G527" i="9"/>
  <c r="F528" i="9"/>
  <c r="J527" i="9"/>
  <c r="J528" i="9" l="1"/>
  <c r="H528" i="9"/>
  <c r="G528" i="9"/>
  <c r="I528" i="9"/>
  <c r="F529" i="9"/>
  <c r="F529" i="8"/>
  <c r="J528" i="8"/>
  <c r="I528" i="8"/>
  <c r="H528" i="8"/>
  <c r="G528" i="8"/>
  <c r="I529" i="4"/>
  <c r="H529" i="4"/>
  <c r="F530" i="4"/>
  <c r="J529" i="4"/>
  <c r="G529" i="4"/>
  <c r="F531" i="4" l="1"/>
  <c r="J530" i="4"/>
  <c r="I530" i="4"/>
  <c r="H530" i="4"/>
  <c r="G530" i="4"/>
  <c r="F530" i="8"/>
  <c r="I529" i="8"/>
  <c r="G529" i="8"/>
  <c r="J529" i="8"/>
  <c r="H529" i="8"/>
  <c r="F530" i="9"/>
  <c r="H529" i="9"/>
  <c r="G529" i="9"/>
  <c r="J529" i="9"/>
  <c r="I529" i="9"/>
  <c r="H530" i="9" l="1"/>
  <c r="I530" i="9"/>
  <c r="F531" i="9"/>
  <c r="J530" i="9"/>
  <c r="G530" i="9"/>
  <c r="F531" i="8"/>
  <c r="H530" i="8"/>
  <c r="G530" i="8"/>
  <c r="J530" i="8"/>
  <c r="I530" i="8"/>
  <c r="I531" i="4"/>
  <c r="F532" i="4"/>
  <c r="J531" i="4"/>
  <c r="H531" i="4"/>
  <c r="G531" i="4"/>
  <c r="J531" i="8" l="1"/>
  <c r="I531" i="8"/>
  <c r="H531" i="8"/>
  <c r="G531" i="8"/>
  <c r="F532" i="8"/>
  <c r="G531" i="9"/>
  <c r="F532" i="9"/>
  <c r="J531" i="9"/>
  <c r="I531" i="9"/>
  <c r="H531" i="9"/>
  <c r="J532" i="4"/>
  <c r="I532" i="4"/>
  <c r="F533" i="4"/>
  <c r="H532" i="4"/>
  <c r="G532" i="4"/>
  <c r="G533" i="4" l="1"/>
  <c r="I533" i="4"/>
  <c r="F534" i="4"/>
  <c r="H533" i="4"/>
  <c r="J533" i="4"/>
  <c r="F533" i="9"/>
  <c r="J532" i="9"/>
  <c r="I532" i="9"/>
  <c r="G532" i="9"/>
  <c r="H532" i="9"/>
  <c r="H532" i="8"/>
  <c r="G532" i="8"/>
  <c r="F533" i="8"/>
  <c r="J532" i="8"/>
  <c r="I532" i="8"/>
  <c r="F535" i="4" l="1"/>
  <c r="J534" i="4"/>
  <c r="I534" i="4"/>
  <c r="H534" i="4"/>
  <c r="G534" i="4"/>
  <c r="J533" i="8"/>
  <c r="I533" i="8"/>
  <c r="F534" i="8"/>
  <c r="H533" i="8"/>
  <c r="G533" i="8"/>
  <c r="G533" i="9"/>
  <c r="H533" i="9"/>
  <c r="F534" i="9"/>
  <c r="J533" i="9"/>
  <c r="I533" i="9"/>
  <c r="F535" i="9" l="1"/>
  <c r="I534" i="9"/>
  <c r="J534" i="9"/>
  <c r="H534" i="9"/>
  <c r="G534" i="9"/>
  <c r="F535" i="8"/>
  <c r="J534" i="8"/>
  <c r="I534" i="8"/>
  <c r="H534" i="8"/>
  <c r="G534" i="8"/>
  <c r="F536" i="4"/>
  <c r="H535" i="4"/>
  <c r="G535" i="4"/>
  <c r="J535" i="4"/>
  <c r="I535" i="4"/>
  <c r="F537" i="4" l="1"/>
  <c r="J536" i="4"/>
  <c r="I536" i="4"/>
  <c r="H536" i="4"/>
  <c r="G536" i="4"/>
  <c r="G535" i="8"/>
  <c r="I535" i="8"/>
  <c r="F536" i="8"/>
  <c r="J535" i="8"/>
  <c r="H535" i="8"/>
  <c r="F536" i="9"/>
  <c r="I535" i="9"/>
  <c r="J535" i="9"/>
  <c r="H535" i="9"/>
  <c r="G535" i="9"/>
  <c r="H536" i="9" l="1"/>
  <c r="G536" i="9"/>
  <c r="I536" i="9"/>
  <c r="F537" i="9"/>
  <c r="J536" i="9"/>
  <c r="J536" i="8"/>
  <c r="H536" i="8"/>
  <c r="F537" i="8"/>
  <c r="I536" i="8"/>
  <c r="G536" i="8"/>
  <c r="F538" i="4"/>
  <c r="I537" i="4"/>
  <c r="J537" i="4"/>
  <c r="G537" i="4"/>
  <c r="H537" i="4"/>
  <c r="H537" i="8" l="1"/>
  <c r="J537" i="8"/>
  <c r="I537" i="8"/>
  <c r="G537" i="8"/>
  <c r="F538" i="8"/>
  <c r="J538" i="4"/>
  <c r="I538" i="4"/>
  <c r="H538" i="4"/>
  <c r="G538" i="4"/>
  <c r="F539" i="4"/>
  <c r="F538" i="9"/>
  <c r="J537" i="9"/>
  <c r="I537" i="9"/>
  <c r="H537" i="9"/>
  <c r="G537" i="9"/>
  <c r="H538" i="9" l="1"/>
  <c r="G538" i="9"/>
  <c r="F539" i="9"/>
  <c r="J538" i="9"/>
  <c r="I538" i="9"/>
  <c r="J539" i="4"/>
  <c r="F540" i="4"/>
  <c r="I539" i="4"/>
  <c r="H539" i="4"/>
  <c r="G539" i="4"/>
  <c r="F539" i="8"/>
  <c r="J538" i="8"/>
  <c r="I538" i="8"/>
  <c r="H538" i="8"/>
  <c r="G538" i="8"/>
  <c r="H539" i="8" l="1"/>
  <c r="J539" i="8"/>
  <c r="I539" i="8"/>
  <c r="G539" i="8"/>
  <c r="F540" i="8"/>
  <c r="F541" i="4"/>
  <c r="J540" i="4"/>
  <c r="I540" i="4"/>
  <c r="H540" i="4"/>
  <c r="G540" i="4"/>
  <c r="I539" i="9"/>
  <c r="H539" i="9"/>
  <c r="F540" i="9"/>
  <c r="G539" i="9"/>
  <c r="J539" i="9"/>
  <c r="G541" i="4" l="1"/>
  <c r="I541" i="4"/>
  <c r="H541" i="4"/>
  <c r="F542" i="4"/>
  <c r="J541" i="4"/>
  <c r="J540" i="9"/>
  <c r="I540" i="9"/>
  <c r="H540" i="9"/>
  <c r="G540" i="9"/>
  <c r="F541" i="9"/>
  <c r="H540" i="8"/>
  <c r="G540" i="8"/>
  <c r="F541" i="8"/>
  <c r="J540" i="8"/>
  <c r="I540" i="8"/>
  <c r="G541" i="8" l="1"/>
  <c r="J541" i="8"/>
  <c r="I541" i="8"/>
  <c r="H541" i="8"/>
  <c r="F542" i="8"/>
  <c r="I541" i="9"/>
  <c r="F542" i="9"/>
  <c r="J541" i="9"/>
  <c r="H541" i="9"/>
  <c r="G541" i="9"/>
  <c r="J542" i="4"/>
  <c r="F543" i="4"/>
  <c r="I542" i="4"/>
  <c r="H542" i="4"/>
  <c r="G542" i="4"/>
  <c r="F544" i="4" l="1"/>
  <c r="J543" i="4"/>
  <c r="I543" i="4"/>
  <c r="H543" i="4"/>
  <c r="G543" i="4"/>
  <c r="J542" i="9"/>
  <c r="F543" i="9"/>
  <c r="H542" i="9"/>
  <c r="I542" i="9"/>
  <c r="G542" i="9"/>
  <c r="F543" i="8"/>
  <c r="J542" i="8"/>
  <c r="I542" i="8"/>
  <c r="G542" i="8"/>
  <c r="H542" i="8"/>
  <c r="J543" i="8" l="1"/>
  <c r="H543" i="8"/>
  <c r="G543" i="8"/>
  <c r="F544" i="8"/>
  <c r="I543" i="8"/>
  <c r="G543" i="9"/>
  <c r="J543" i="9"/>
  <c r="I543" i="9"/>
  <c r="H543" i="9"/>
  <c r="F544" i="9"/>
  <c r="H544" i="4"/>
  <c r="J544" i="4"/>
  <c r="F545" i="4"/>
  <c r="I544" i="4"/>
  <c r="G544" i="4"/>
  <c r="I545" i="4" l="1"/>
  <c r="H545" i="4"/>
  <c r="G545" i="4"/>
  <c r="J545" i="4"/>
  <c r="F546" i="4"/>
  <c r="J544" i="9"/>
  <c r="I544" i="9"/>
  <c r="H544" i="9"/>
  <c r="G544" i="9"/>
  <c r="F545" i="9"/>
  <c r="F545" i="8"/>
  <c r="J544" i="8"/>
  <c r="I544" i="8"/>
  <c r="G544" i="8"/>
  <c r="H544" i="8"/>
  <c r="F546" i="8" l="1"/>
  <c r="J545" i="8"/>
  <c r="G545" i="8"/>
  <c r="I545" i="8"/>
  <c r="H545" i="8"/>
  <c r="F546" i="9"/>
  <c r="J545" i="9"/>
  <c r="I545" i="9"/>
  <c r="H545" i="9"/>
  <c r="G545" i="9"/>
  <c r="H546" i="4"/>
  <c r="G546" i="4"/>
  <c r="F547" i="4"/>
  <c r="J546" i="4"/>
  <c r="I546" i="4"/>
  <c r="G547" i="4" l="1"/>
  <c r="H547" i="4"/>
  <c r="F548" i="4"/>
  <c r="J547" i="4"/>
  <c r="I547" i="4"/>
  <c r="J546" i="9"/>
  <c r="H546" i="9"/>
  <c r="F547" i="9"/>
  <c r="I546" i="9"/>
  <c r="G546" i="9"/>
  <c r="F547" i="8"/>
  <c r="J546" i="8"/>
  <c r="H546" i="8"/>
  <c r="I546" i="8"/>
  <c r="G546" i="8"/>
  <c r="F548" i="9" l="1"/>
  <c r="J547" i="9"/>
  <c r="I547" i="9"/>
  <c r="H547" i="9"/>
  <c r="G547" i="9"/>
  <c r="G547" i="8"/>
  <c r="J547" i="8"/>
  <c r="F548" i="8"/>
  <c r="I547" i="8"/>
  <c r="H547" i="8"/>
  <c r="F549" i="4"/>
  <c r="J548" i="4"/>
  <c r="I548" i="4"/>
  <c r="H548" i="4"/>
  <c r="G548" i="4"/>
  <c r="H548" i="8" l="1"/>
  <c r="F549" i="8"/>
  <c r="J548" i="8"/>
  <c r="I548" i="8"/>
  <c r="G548" i="8"/>
  <c r="H549" i="4"/>
  <c r="F550" i="4"/>
  <c r="J549" i="4"/>
  <c r="I549" i="4"/>
  <c r="G549" i="4"/>
  <c r="G548" i="9"/>
  <c r="I548" i="9"/>
  <c r="J548" i="9"/>
  <c r="H548" i="9"/>
  <c r="F549" i="9"/>
  <c r="J550" i="4" l="1"/>
  <c r="H550" i="4"/>
  <c r="F551" i="4"/>
  <c r="I550" i="4"/>
  <c r="G550" i="4"/>
  <c r="G549" i="8"/>
  <c r="F550" i="8"/>
  <c r="H549" i="8"/>
  <c r="J549" i="8"/>
  <c r="I549" i="8"/>
  <c r="G549" i="9"/>
  <c r="F550" i="9"/>
  <c r="J549" i="9"/>
  <c r="H549" i="9"/>
  <c r="I549" i="9"/>
  <c r="J550" i="9" l="1"/>
  <c r="I550" i="9"/>
  <c r="H550" i="9"/>
  <c r="F551" i="9"/>
  <c r="G550" i="9"/>
  <c r="G550" i="8"/>
  <c r="F551" i="8"/>
  <c r="J550" i="8"/>
  <c r="I550" i="8"/>
  <c r="H550" i="8"/>
  <c r="J551" i="4"/>
  <c r="F552" i="4"/>
  <c r="I551" i="4"/>
  <c r="H551" i="4"/>
  <c r="G551" i="4"/>
  <c r="I552" i="4" l="1"/>
  <c r="H552" i="4"/>
  <c r="G552" i="4"/>
  <c r="F553" i="4"/>
  <c r="J552" i="4"/>
  <c r="F552" i="8"/>
  <c r="J551" i="8"/>
  <c r="H551" i="8"/>
  <c r="I551" i="8"/>
  <c r="G551" i="8"/>
  <c r="I551" i="9"/>
  <c r="F552" i="9"/>
  <c r="J551" i="9"/>
  <c r="H551" i="9"/>
  <c r="G551" i="9"/>
  <c r="H552" i="9" l="1"/>
  <c r="F553" i="9"/>
  <c r="J552" i="9"/>
  <c r="I552" i="9"/>
  <c r="G552" i="9"/>
  <c r="G552" i="8"/>
  <c r="I552" i="8"/>
  <c r="H552" i="8"/>
  <c r="F553" i="8"/>
  <c r="J552" i="8"/>
  <c r="I553" i="4"/>
  <c r="J553" i="4"/>
  <c r="H553" i="4"/>
  <c r="F554" i="4"/>
  <c r="G553" i="4"/>
  <c r="J554" i="4" l="1"/>
  <c r="I554" i="4"/>
  <c r="H554" i="4"/>
  <c r="G554" i="4"/>
  <c r="F555" i="4"/>
  <c r="G553" i="9"/>
  <c r="H553" i="9"/>
  <c r="I553" i="9"/>
  <c r="J553" i="9"/>
  <c r="F554" i="9"/>
  <c r="I553" i="8"/>
  <c r="H553" i="8"/>
  <c r="J553" i="8"/>
  <c r="G553" i="8"/>
  <c r="F554" i="8"/>
  <c r="F555" i="8" l="1"/>
  <c r="J554" i="8"/>
  <c r="H554" i="8"/>
  <c r="I554" i="8"/>
  <c r="G554" i="8"/>
  <c r="F555" i="9"/>
  <c r="G554" i="9"/>
  <c r="J554" i="9"/>
  <c r="I554" i="9"/>
  <c r="H554" i="9"/>
  <c r="F556" i="4"/>
  <c r="J555" i="4"/>
  <c r="G555" i="4"/>
  <c r="I555" i="4"/>
  <c r="H555" i="4"/>
  <c r="J556" i="4" l="1"/>
  <c r="H556" i="4"/>
  <c r="F557" i="4"/>
  <c r="I556" i="4"/>
  <c r="G556" i="4"/>
  <c r="I555" i="9"/>
  <c r="J555" i="9"/>
  <c r="H555" i="9"/>
  <c r="G555" i="9"/>
  <c r="F556" i="9"/>
  <c r="I555" i="8"/>
  <c r="G555" i="8"/>
  <c r="H555" i="8"/>
  <c r="F556" i="8"/>
  <c r="J555" i="8"/>
  <c r="J556" i="9" l="1"/>
  <c r="I556" i="9"/>
  <c r="G556" i="9"/>
  <c r="F557" i="9"/>
  <c r="H556" i="9"/>
  <c r="I556" i="8"/>
  <c r="J556" i="8"/>
  <c r="H556" i="8"/>
  <c r="F557" i="8"/>
  <c r="G556" i="8"/>
  <c r="G557" i="4"/>
  <c r="H557" i="4"/>
  <c r="I557" i="4"/>
  <c r="F558" i="4"/>
  <c r="J557" i="4"/>
  <c r="F559" i="4" l="1"/>
  <c r="G558" i="4"/>
  <c r="H558" i="4"/>
  <c r="J558" i="4"/>
  <c r="I558" i="4"/>
  <c r="F558" i="8"/>
  <c r="J557" i="8"/>
  <c r="I557" i="8"/>
  <c r="H557" i="8"/>
  <c r="G557" i="8"/>
  <c r="I557" i="9"/>
  <c r="F558" i="9"/>
  <c r="J557" i="9"/>
  <c r="G557" i="9"/>
  <c r="H557" i="9"/>
  <c r="J558" i="9" l="1"/>
  <c r="F559" i="9"/>
  <c r="I558" i="9"/>
  <c r="H558" i="9"/>
  <c r="G558" i="9"/>
  <c r="F559" i="8"/>
  <c r="I558" i="8"/>
  <c r="J558" i="8"/>
  <c r="G558" i="8"/>
  <c r="H558" i="8"/>
  <c r="F560" i="4"/>
  <c r="J559" i="4"/>
  <c r="I559" i="4"/>
  <c r="H559" i="4"/>
  <c r="G559" i="4"/>
  <c r="J559" i="9" l="1"/>
  <c r="H559" i="9"/>
  <c r="F560" i="9"/>
  <c r="I559" i="9"/>
  <c r="G559" i="9"/>
  <c r="I560" i="4"/>
  <c r="F561" i="4"/>
  <c r="J560" i="4"/>
  <c r="H560" i="4"/>
  <c r="G560" i="4"/>
  <c r="F560" i="8"/>
  <c r="H559" i="8"/>
  <c r="G559" i="8"/>
  <c r="J559" i="8"/>
  <c r="I559" i="8"/>
  <c r="J561" i="4" l="1"/>
  <c r="I561" i="4"/>
  <c r="F562" i="4"/>
  <c r="H561" i="4"/>
  <c r="G561" i="4"/>
  <c r="G560" i="8"/>
  <c r="J560" i="8"/>
  <c r="F561" i="8"/>
  <c r="I560" i="8"/>
  <c r="H560" i="8"/>
  <c r="F561" i="9"/>
  <c r="J560" i="9"/>
  <c r="I560" i="9"/>
  <c r="H560" i="9"/>
  <c r="G560" i="9"/>
  <c r="H561" i="8" l="1"/>
  <c r="G561" i="8"/>
  <c r="F562" i="8"/>
  <c r="I561" i="8"/>
  <c r="J561" i="8"/>
  <c r="F562" i="9"/>
  <c r="H561" i="9"/>
  <c r="G561" i="9"/>
  <c r="J561" i="9"/>
  <c r="I561" i="9"/>
  <c r="J562" i="4"/>
  <c r="F563" i="4"/>
  <c r="I562" i="4"/>
  <c r="H562" i="4"/>
  <c r="G562" i="4"/>
  <c r="I563" i="4" l="1"/>
  <c r="G563" i="4"/>
  <c r="J563" i="4"/>
  <c r="H563" i="4"/>
  <c r="F564" i="4"/>
  <c r="F563" i="9"/>
  <c r="J562" i="9"/>
  <c r="I562" i="9"/>
  <c r="H562" i="9"/>
  <c r="G562" i="9"/>
  <c r="F563" i="8"/>
  <c r="J562" i="8"/>
  <c r="I562" i="8"/>
  <c r="H562" i="8"/>
  <c r="G562" i="8"/>
  <c r="G563" i="8" l="1"/>
  <c r="F564" i="8"/>
  <c r="J563" i="8"/>
  <c r="I563" i="8"/>
  <c r="H563" i="8"/>
  <c r="I563" i="9"/>
  <c r="H563" i="9"/>
  <c r="J563" i="9"/>
  <c r="G563" i="9"/>
  <c r="F564" i="9"/>
  <c r="J564" i="4"/>
  <c r="G564" i="4"/>
  <c r="F565" i="4"/>
  <c r="I564" i="4"/>
  <c r="H564" i="4"/>
  <c r="F566" i="4" l="1"/>
  <c r="I565" i="4"/>
  <c r="J565" i="4"/>
  <c r="H565" i="4"/>
  <c r="G565" i="4"/>
  <c r="H564" i="8"/>
  <c r="G564" i="8"/>
  <c r="J564" i="8"/>
  <c r="I564" i="8"/>
  <c r="F565" i="8"/>
  <c r="G564" i="9"/>
  <c r="F565" i="9"/>
  <c r="J564" i="9"/>
  <c r="I564" i="9"/>
  <c r="H564" i="9"/>
  <c r="G565" i="9" l="1"/>
  <c r="F566" i="9"/>
  <c r="H565" i="9"/>
  <c r="I565" i="9"/>
  <c r="J565" i="9"/>
  <c r="J565" i="8"/>
  <c r="F566" i="8"/>
  <c r="I565" i="8"/>
  <c r="H565" i="8"/>
  <c r="G565" i="8"/>
  <c r="H566" i="4"/>
  <c r="F567" i="4"/>
  <c r="J566" i="4"/>
  <c r="G566" i="4"/>
  <c r="I566" i="4"/>
  <c r="G567" i="4" l="1"/>
  <c r="I567" i="4"/>
  <c r="F568" i="4"/>
  <c r="J567" i="4"/>
  <c r="H567" i="4"/>
  <c r="J566" i="8"/>
  <c r="I566" i="8"/>
  <c r="F567" i="8"/>
  <c r="H566" i="8"/>
  <c r="G566" i="8"/>
  <c r="I566" i="9"/>
  <c r="G566" i="9"/>
  <c r="J566" i="9"/>
  <c r="H566" i="9"/>
  <c r="F567" i="9"/>
  <c r="J567" i="8" l="1"/>
  <c r="G567" i="8"/>
  <c r="H567" i="8"/>
  <c r="I567" i="8"/>
  <c r="F568" i="8"/>
  <c r="F568" i="9"/>
  <c r="J567" i="9"/>
  <c r="G567" i="9"/>
  <c r="I567" i="9"/>
  <c r="H567" i="9"/>
  <c r="G568" i="4"/>
  <c r="J568" i="4"/>
  <c r="I568" i="4"/>
  <c r="H568" i="4"/>
  <c r="F569" i="4"/>
  <c r="F570" i="4" l="1"/>
  <c r="I569" i="4"/>
  <c r="G569" i="4"/>
  <c r="J569" i="4"/>
  <c r="H569" i="4"/>
  <c r="H568" i="9"/>
  <c r="G568" i="9"/>
  <c r="I568" i="9"/>
  <c r="J568" i="9"/>
  <c r="F569" i="9"/>
  <c r="F569" i="8"/>
  <c r="J568" i="8"/>
  <c r="I568" i="8"/>
  <c r="H568" i="8"/>
  <c r="G568" i="8"/>
  <c r="H569" i="8" l="1"/>
  <c r="J569" i="8"/>
  <c r="I569" i="8"/>
  <c r="G569" i="8"/>
  <c r="F570" i="8"/>
  <c r="J569" i="9"/>
  <c r="F570" i="9"/>
  <c r="I569" i="9"/>
  <c r="H569" i="9"/>
  <c r="G569" i="9"/>
  <c r="H570" i="4"/>
  <c r="G570" i="4"/>
  <c r="F571" i="4"/>
  <c r="J570" i="4"/>
  <c r="I570" i="4"/>
  <c r="F572" i="4" l="1"/>
  <c r="J571" i="4"/>
  <c r="I571" i="4"/>
  <c r="H571" i="4"/>
  <c r="G571" i="4"/>
  <c r="H570" i="9"/>
  <c r="G570" i="9"/>
  <c r="F571" i="9"/>
  <c r="J570" i="9"/>
  <c r="I570" i="9"/>
  <c r="G570" i="8"/>
  <c r="J570" i="8"/>
  <c r="F571" i="8"/>
  <c r="I570" i="8"/>
  <c r="H570" i="8"/>
  <c r="F572" i="8" l="1"/>
  <c r="J571" i="8"/>
  <c r="I571" i="8"/>
  <c r="G571" i="8"/>
  <c r="H571" i="8"/>
  <c r="I571" i="9"/>
  <c r="G571" i="9"/>
  <c r="F572" i="9"/>
  <c r="H571" i="9"/>
  <c r="J571" i="9"/>
  <c r="J572" i="4"/>
  <c r="G572" i="4"/>
  <c r="H572" i="4"/>
  <c r="F573" i="4"/>
  <c r="I572" i="4"/>
  <c r="F574" i="4" l="1"/>
  <c r="I573" i="4"/>
  <c r="J573" i="4"/>
  <c r="H573" i="4"/>
  <c r="G573" i="4"/>
  <c r="H572" i="9"/>
  <c r="J572" i="9"/>
  <c r="F573" i="9"/>
  <c r="I572" i="9"/>
  <c r="G572" i="9"/>
  <c r="F573" i="8"/>
  <c r="H572" i="8"/>
  <c r="G572" i="8"/>
  <c r="J572" i="8"/>
  <c r="I572" i="8"/>
  <c r="I573" i="9" l="1"/>
  <c r="F574" i="9"/>
  <c r="J573" i="9"/>
  <c r="H573" i="9"/>
  <c r="G573" i="9"/>
  <c r="H573" i="8"/>
  <c r="G573" i="8"/>
  <c r="F574" i="8"/>
  <c r="J573" i="8"/>
  <c r="I573" i="8"/>
  <c r="H574" i="4"/>
  <c r="G574" i="4"/>
  <c r="F575" i="4"/>
  <c r="J574" i="4"/>
  <c r="I574" i="4"/>
  <c r="J574" i="8" l="1"/>
  <c r="G574" i="8"/>
  <c r="F575" i="8"/>
  <c r="I574" i="8"/>
  <c r="H574" i="8"/>
  <c r="F576" i="4"/>
  <c r="I575" i="4"/>
  <c r="J575" i="4"/>
  <c r="H575" i="4"/>
  <c r="G575" i="4"/>
  <c r="J574" i="9"/>
  <c r="G574" i="9"/>
  <c r="H574" i="9"/>
  <c r="F575" i="9"/>
  <c r="I574" i="9"/>
  <c r="J575" i="9" l="1"/>
  <c r="F576" i="9"/>
  <c r="I575" i="9"/>
  <c r="H575" i="9"/>
  <c r="G575" i="9"/>
  <c r="H576" i="4"/>
  <c r="I576" i="4"/>
  <c r="G576" i="4"/>
  <c r="F577" i="4"/>
  <c r="J576" i="4"/>
  <c r="J575" i="8"/>
  <c r="F576" i="8"/>
  <c r="I575" i="8"/>
  <c r="H575" i="8"/>
  <c r="G575" i="8"/>
  <c r="F578" i="4" l="1"/>
  <c r="J577" i="4"/>
  <c r="I577" i="4"/>
  <c r="H577" i="4"/>
  <c r="G577" i="4"/>
  <c r="J576" i="8"/>
  <c r="F577" i="8"/>
  <c r="I576" i="8"/>
  <c r="H576" i="8"/>
  <c r="G576" i="8"/>
  <c r="F577" i="9"/>
  <c r="I576" i="9"/>
  <c r="H576" i="9"/>
  <c r="G576" i="9"/>
  <c r="J576" i="9"/>
  <c r="H577" i="8" l="1"/>
  <c r="F578" i="8"/>
  <c r="J577" i="8"/>
  <c r="I577" i="8"/>
  <c r="G577" i="8"/>
  <c r="F578" i="9"/>
  <c r="G577" i="9"/>
  <c r="J577" i="9"/>
  <c r="I577" i="9"/>
  <c r="H577" i="9"/>
  <c r="H578" i="4"/>
  <c r="G578" i="4"/>
  <c r="J578" i="4"/>
  <c r="I578" i="4"/>
  <c r="F579" i="4"/>
  <c r="G579" i="4" l="1"/>
  <c r="F580" i="4"/>
  <c r="J579" i="4"/>
  <c r="I579" i="4"/>
  <c r="H579" i="4"/>
  <c r="J578" i="9"/>
  <c r="I578" i="9"/>
  <c r="H578" i="9"/>
  <c r="G578" i="9"/>
  <c r="F579" i="9"/>
  <c r="G578" i="8"/>
  <c r="F579" i="8"/>
  <c r="I578" i="8"/>
  <c r="H578" i="8"/>
  <c r="J578" i="8"/>
  <c r="F580" i="8" l="1"/>
  <c r="J579" i="8"/>
  <c r="H579" i="8"/>
  <c r="G579" i="8"/>
  <c r="I579" i="8"/>
  <c r="I579" i="9"/>
  <c r="H579" i="9"/>
  <c r="G579" i="9"/>
  <c r="F580" i="9"/>
  <c r="J579" i="9"/>
  <c r="J580" i="4"/>
  <c r="F581" i="4"/>
  <c r="I580" i="4"/>
  <c r="H580" i="4"/>
  <c r="G580" i="4"/>
  <c r="F582" i="4" l="1"/>
  <c r="I581" i="4"/>
  <c r="H581" i="4"/>
  <c r="G581" i="4"/>
  <c r="J581" i="4"/>
  <c r="I580" i="9"/>
  <c r="H580" i="9"/>
  <c r="G580" i="9"/>
  <c r="F581" i="9"/>
  <c r="J580" i="9"/>
  <c r="F581" i="8"/>
  <c r="I580" i="8"/>
  <c r="J580" i="8"/>
  <c r="H580" i="8"/>
  <c r="G580" i="8"/>
  <c r="G581" i="9" l="1"/>
  <c r="J581" i="9"/>
  <c r="F582" i="9"/>
  <c r="I581" i="9"/>
  <c r="H581" i="9"/>
  <c r="J581" i="8"/>
  <c r="H581" i="8"/>
  <c r="G581" i="8"/>
  <c r="F582" i="8"/>
  <c r="I581" i="8"/>
  <c r="J582" i="4"/>
  <c r="H582" i="4"/>
  <c r="F583" i="4"/>
  <c r="I582" i="4"/>
  <c r="G582" i="4"/>
  <c r="G582" i="8" l="1"/>
  <c r="F583" i="8"/>
  <c r="J582" i="8"/>
  <c r="I582" i="8"/>
  <c r="H582" i="8"/>
  <c r="G583" i="4"/>
  <c r="H583" i="4"/>
  <c r="F584" i="4"/>
  <c r="J583" i="4"/>
  <c r="I583" i="4"/>
  <c r="I582" i="9"/>
  <c r="J582" i="9"/>
  <c r="G582" i="9"/>
  <c r="F583" i="9"/>
  <c r="H582" i="9"/>
  <c r="F585" i="4" l="1"/>
  <c r="I584" i="4"/>
  <c r="H584" i="4"/>
  <c r="G584" i="4"/>
  <c r="J584" i="4"/>
  <c r="F584" i="9"/>
  <c r="J583" i="9"/>
  <c r="H583" i="9"/>
  <c r="G583" i="9"/>
  <c r="I583" i="9"/>
  <c r="G583" i="8"/>
  <c r="I583" i="8"/>
  <c r="H583" i="8"/>
  <c r="J583" i="8"/>
  <c r="F584" i="8"/>
  <c r="I584" i="8" l="1"/>
  <c r="F585" i="8"/>
  <c r="J584" i="8"/>
  <c r="H584" i="8"/>
  <c r="G584" i="8"/>
  <c r="H584" i="9"/>
  <c r="G584" i="9"/>
  <c r="I584" i="9"/>
  <c r="F585" i="9"/>
  <c r="J584" i="9"/>
  <c r="I585" i="4"/>
  <c r="G585" i="4"/>
  <c r="F586" i="4"/>
  <c r="J585" i="4"/>
  <c r="H585" i="4"/>
  <c r="I586" i="4" l="1"/>
  <c r="H586" i="4"/>
  <c r="F587" i="4"/>
  <c r="J586" i="4"/>
  <c r="G586" i="4"/>
  <c r="F586" i="9"/>
  <c r="J585" i="9"/>
  <c r="I585" i="9"/>
  <c r="H585" i="9"/>
  <c r="G585" i="9"/>
  <c r="F586" i="8"/>
  <c r="J585" i="8"/>
  <c r="I585" i="8"/>
  <c r="G585" i="8"/>
  <c r="H585" i="8"/>
  <c r="I586" i="8" l="1"/>
  <c r="H586" i="8"/>
  <c r="J586" i="8"/>
  <c r="G586" i="8"/>
  <c r="F587" i="8"/>
  <c r="G586" i="9"/>
  <c r="F587" i="9"/>
  <c r="J586" i="9"/>
  <c r="I586" i="9"/>
  <c r="H586" i="9"/>
  <c r="F588" i="4"/>
  <c r="J587" i="4"/>
  <c r="I587" i="4"/>
  <c r="H587" i="4"/>
  <c r="G587" i="4"/>
  <c r="J588" i="4" l="1"/>
  <c r="H588" i="4"/>
  <c r="F589" i="4"/>
  <c r="I588" i="4"/>
  <c r="G588" i="4"/>
  <c r="I587" i="9"/>
  <c r="F588" i="9"/>
  <c r="J587" i="9"/>
  <c r="H587" i="9"/>
  <c r="G587" i="9"/>
  <c r="J587" i="8"/>
  <c r="I587" i="8"/>
  <c r="H587" i="8"/>
  <c r="F588" i="8"/>
  <c r="G587" i="8"/>
  <c r="I588" i="8" l="1"/>
  <c r="F589" i="8"/>
  <c r="J588" i="8"/>
  <c r="H588" i="8"/>
  <c r="G588" i="8"/>
  <c r="F589" i="9"/>
  <c r="H588" i="9"/>
  <c r="I588" i="9"/>
  <c r="G588" i="9"/>
  <c r="J588" i="9"/>
  <c r="G589" i="4"/>
  <c r="H589" i="4"/>
  <c r="F590" i="4"/>
  <c r="J589" i="4"/>
  <c r="I589" i="4"/>
  <c r="I590" i="4" l="1"/>
  <c r="H590" i="4"/>
  <c r="G590" i="4"/>
  <c r="F591" i="4"/>
  <c r="J590" i="4"/>
  <c r="H589" i="9"/>
  <c r="G589" i="9"/>
  <c r="I589" i="9"/>
  <c r="F590" i="9"/>
  <c r="J589" i="9"/>
  <c r="J589" i="8"/>
  <c r="F590" i="8"/>
  <c r="H589" i="8"/>
  <c r="I589" i="8"/>
  <c r="G589" i="8"/>
  <c r="F591" i="8" l="1"/>
  <c r="J590" i="8"/>
  <c r="I590" i="8"/>
  <c r="H590" i="8"/>
  <c r="G590" i="8"/>
  <c r="J590" i="9"/>
  <c r="F591" i="9"/>
  <c r="I590" i="9"/>
  <c r="G590" i="9"/>
  <c r="H590" i="9"/>
  <c r="F592" i="4"/>
  <c r="I591" i="4"/>
  <c r="H591" i="4"/>
  <c r="G591" i="4"/>
  <c r="J591" i="4"/>
  <c r="I591" i="9" l="1"/>
  <c r="F592" i="9"/>
  <c r="J591" i="9"/>
  <c r="H591" i="9"/>
  <c r="G591" i="9"/>
  <c r="I592" i="4"/>
  <c r="F593" i="4"/>
  <c r="H592" i="4"/>
  <c r="J592" i="4"/>
  <c r="G592" i="4"/>
  <c r="J591" i="8"/>
  <c r="F592" i="8"/>
  <c r="I591" i="8"/>
  <c r="H591" i="8"/>
  <c r="G591" i="8"/>
  <c r="I593" i="4" l="1"/>
  <c r="F594" i="4"/>
  <c r="J593" i="4"/>
  <c r="H593" i="4"/>
  <c r="G593" i="4"/>
  <c r="F593" i="9"/>
  <c r="J592" i="9"/>
  <c r="I592" i="9"/>
  <c r="H592" i="9"/>
  <c r="G592" i="9"/>
  <c r="F593" i="8"/>
  <c r="I592" i="8"/>
  <c r="H592" i="8"/>
  <c r="G592" i="8"/>
  <c r="J592" i="8"/>
  <c r="J594" i="4" l="1"/>
  <c r="I594" i="4"/>
  <c r="H594" i="4"/>
  <c r="F595" i="4"/>
  <c r="G594" i="4"/>
  <c r="G593" i="8"/>
  <c r="I593" i="8"/>
  <c r="H593" i="8"/>
  <c r="F594" i="8"/>
  <c r="J593" i="8"/>
  <c r="F594" i="9"/>
  <c r="I593" i="9"/>
  <c r="H593" i="9"/>
  <c r="G593" i="9"/>
  <c r="J593" i="9"/>
  <c r="I595" i="4" l="1"/>
  <c r="G595" i="4"/>
  <c r="J595" i="4"/>
  <c r="F596" i="4"/>
  <c r="H595" i="4"/>
  <c r="G594" i="9"/>
  <c r="J594" i="9"/>
  <c r="I594" i="9"/>
  <c r="H594" i="9"/>
  <c r="F595" i="9"/>
  <c r="F595" i="8"/>
  <c r="J594" i="8"/>
  <c r="I594" i="8"/>
  <c r="H594" i="8"/>
  <c r="G594" i="8"/>
  <c r="F596" i="9" l="1"/>
  <c r="J595" i="9"/>
  <c r="I595" i="9"/>
  <c r="G595" i="9"/>
  <c r="H595" i="9"/>
  <c r="F596" i="8"/>
  <c r="J595" i="8"/>
  <c r="I595" i="8"/>
  <c r="G595" i="8"/>
  <c r="H595" i="8"/>
  <c r="I596" i="4"/>
  <c r="H596" i="4"/>
  <c r="G596" i="4"/>
  <c r="F597" i="4"/>
  <c r="J596" i="4"/>
  <c r="J597" i="4" l="1"/>
  <c r="I597" i="4"/>
  <c r="H597" i="4"/>
  <c r="G597" i="4"/>
  <c r="F598" i="4"/>
  <c r="G596" i="8"/>
  <c r="F597" i="8"/>
  <c r="J596" i="8"/>
  <c r="I596" i="8"/>
  <c r="H596" i="8"/>
  <c r="F597" i="9"/>
  <c r="G596" i="9"/>
  <c r="I596" i="9"/>
  <c r="H596" i="9"/>
  <c r="J596" i="9"/>
  <c r="F598" i="8" l="1"/>
  <c r="H597" i="8"/>
  <c r="G597" i="8"/>
  <c r="J597" i="8"/>
  <c r="I597" i="8"/>
  <c r="G597" i="9"/>
  <c r="J597" i="9"/>
  <c r="I597" i="9"/>
  <c r="F598" i="9"/>
  <c r="H597" i="9"/>
  <c r="H598" i="4"/>
  <c r="F599" i="4"/>
  <c r="J598" i="4"/>
  <c r="I598" i="4"/>
  <c r="G598" i="4"/>
  <c r="G599" i="4" l="1"/>
  <c r="F600" i="4"/>
  <c r="J599" i="4"/>
  <c r="I599" i="4"/>
  <c r="H599" i="4"/>
  <c r="F599" i="9"/>
  <c r="G598" i="9"/>
  <c r="J598" i="9"/>
  <c r="I598" i="9"/>
  <c r="H598" i="9"/>
  <c r="F599" i="8"/>
  <c r="G598" i="8"/>
  <c r="I598" i="8"/>
  <c r="H598" i="8"/>
  <c r="J598" i="8"/>
  <c r="J599" i="8" l="1"/>
  <c r="I599" i="8"/>
  <c r="G599" i="8"/>
  <c r="F600" i="8"/>
  <c r="H599" i="8"/>
  <c r="J599" i="9"/>
  <c r="H599" i="9"/>
  <c r="G599" i="9"/>
  <c r="F600" i="9"/>
  <c r="I599" i="9"/>
  <c r="J600" i="4"/>
  <c r="I600" i="4"/>
  <c r="H600" i="4"/>
  <c r="G600" i="4"/>
  <c r="F601" i="4"/>
  <c r="H600" i="9" l="1"/>
  <c r="F601" i="9"/>
  <c r="J600" i="9"/>
  <c r="I600" i="9"/>
  <c r="G600" i="9"/>
  <c r="I600" i="8"/>
  <c r="F601" i="8"/>
  <c r="J600" i="8"/>
  <c r="H600" i="8"/>
  <c r="G600" i="8"/>
  <c r="F602" i="4"/>
  <c r="I601" i="4"/>
  <c r="G601" i="4"/>
  <c r="J601" i="4"/>
  <c r="H601" i="4"/>
  <c r="H601" i="8" l="1"/>
  <c r="F602" i="8"/>
  <c r="J601" i="8"/>
  <c r="I601" i="8"/>
  <c r="G601" i="8"/>
  <c r="F603" i="4"/>
  <c r="J602" i="4"/>
  <c r="I602" i="4"/>
  <c r="H602" i="4"/>
  <c r="G602" i="4"/>
  <c r="G601" i="9"/>
  <c r="J601" i="9"/>
  <c r="I601" i="9"/>
  <c r="H601" i="9"/>
  <c r="F602" i="9"/>
  <c r="G602" i="9" l="1"/>
  <c r="F603" i="9"/>
  <c r="J602" i="9"/>
  <c r="H602" i="9"/>
  <c r="I602" i="9"/>
  <c r="J603" i="4"/>
  <c r="I603" i="4"/>
  <c r="H603" i="4"/>
  <c r="F604" i="4"/>
  <c r="G603" i="4"/>
  <c r="F603" i="8"/>
  <c r="J602" i="8"/>
  <c r="I602" i="8"/>
  <c r="H602" i="8"/>
  <c r="G602" i="8"/>
  <c r="H603" i="8" l="1"/>
  <c r="G603" i="8"/>
  <c r="F604" i="8"/>
  <c r="J603" i="8"/>
  <c r="I603" i="8"/>
  <c r="J604" i="4"/>
  <c r="F605" i="4"/>
  <c r="I604" i="4"/>
  <c r="H604" i="4"/>
  <c r="G604" i="4"/>
  <c r="I603" i="9"/>
  <c r="F604" i="9"/>
  <c r="H603" i="9"/>
  <c r="J603" i="9"/>
  <c r="G603" i="9"/>
  <c r="I604" i="9" l="1"/>
  <c r="H604" i="9"/>
  <c r="F605" i="9"/>
  <c r="J604" i="9"/>
  <c r="G604" i="9"/>
  <c r="J605" i="4"/>
  <c r="H605" i="4"/>
  <c r="G605" i="4"/>
  <c r="F606" i="4"/>
  <c r="I605" i="4"/>
  <c r="I604" i="8"/>
  <c r="H604" i="8"/>
  <c r="G604" i="8"/>
  <c r="F605" i="8"/>
  <c r="J604" i="8"/>
  <c r="J605" i="8" l="1"/>
  <c r="I605" i="8"/>
  <c r="H605" i="8"/>
  <c r="F606" i="8"/>
  <c r="G605" i="8"/>
  <c r="F607" i="4"/>
  <c r="I606" i="4"/>
  <c r="J606" i="4"/>
  <c r="H606" i="4"/>
  <c r="G606" i="4"/>
  <c r="G605" i="9"/>
  <c r="F606" i="9"/>
  <c r="I605" i="9"/>
  <c r="H605" i="9"/>
  <c r="J605" i="9"/>
  <c r="J606" i="9" l="1"/>
  <c r="H606" i="9"/>
  <c r="G606" i="9"/>
  <c r="F607" i="9"/>
  <c r="I606" i="9"/>
  <c r="F608" i="4"/>
  <c r="I607" i="4"/>
  <c r="J607" i="4"/>
  <c r="H607" i="4"/>
  <c r="G607" i="4"/>
  <c r="H606" i="8"/>
  <c r="G606" i="8"/>
  <c r="I606" i="8"/>
  <c r="F607" i="8"/>
  <c r="J606" i="8"/>
  <c r="J607" i="8" l="1"/>
  <c r="F608" i="8"/>
  <c r="I607" i="8"/>
  <c r="H607" i="8"/>
  <c r="G607" i="8"/>
  <c r="H608" i="4"/>
  <c r="G608" i="4"/>
  <c r="F609" i="4"/>
  <c r="J608" i="4"/>
  <c r="I608" i="4"/>
  <c r="F608" i="9"/>
  <c r="H607" i="9"/>
  <c r="J607" i="9"/>
  <c r="I607" i="9"/>
  <c r="G607" i="9"/>
  <c r="I608" i="9" l="1"/>
  <c r="H608" i="9"/>
  <c r="G608" i="9"/>
  <c r="F609" i="9"/>
  <c r="J608" i="9"/>
  <c r="H609" i="4"/>
  <c r="G609" i="4"/>
  <c r="F610" i="4"/>
  <c r="J609" i="4"/>
  <c r="I609" i="4"/>
  <c r="G608" i="8"/>
  <c r="F609" i="8"/>
  <c r="J608" i="8"/>
  <c r="I608" i="8"/>
  <c r="H608" i="8"/>
  <c r="F610" i="8" l="1"/>
  <c r="J609" i="8"/>
  <c r="I609" i="8"/>
  <c r="H609" i="8"/>
  <c r="G609" i="8"/>
  <c r="F610" i="9"/>
  <c r="J609" i="9"/>
  <c r="I609" i="9"/>
  <c r="H609" i="9"/>
  <c r="G609" i="9"/>
  <c r="F611" i="4"/>
  <c r="J610" i="4"/>
  <c r="I610" i="4"/>
  <c r="G610" i="4"/>
  <c r="H610" i="4"/>
  <c r="G611" i="4" l="1"/>
  <c r="J611" i="4"/>
  <c r="F612" i="4"/>
  <c r="I611" i="4"/>
  <c r="H611" i="4"/>
  <c r="J610" i="9"/>
  <c r="I610" i="9"/>
  <c r="H610" i="9"/>
  <c r="G610" i="9"/>
  <c r="F611" i="9"/>
  <c r="I610" i="8"/>
  <c r="H610" i="8"/>
  <c r="G610" i="8"/>
  <c r="J610" i="8"/>
  <c r="F611" i="8"/>
  <c r="H611" i="9" l="1"/>
  <c r="G611" i="9"/>
  <c r="J611" i="9"/>
  <c r="I611" i="9"/>
  <c r="F612" i="9"/>
  <c r="F612" i="8"/>
  <c r="J611" i="8"/>
  <c r="I611" i="8"/>
  <c r="G611" i="8"/>
  <c r="H611" i="8"/>
  <c r="H612" i="4"/>
  <c r="G612" i="4"/>
  <c r="F613" i="4"/>
  <c r="J612" i="4"/>
  <c r="I612" i="4"/>
  <c r="F614" i="4" l="1"/>
  <c r="G613" i="4"/>
  <c r="J613" i="4"/>
  <c r="I613" i="4"/>
  <c r="H613" i="4"/>
  <c r="F613" i="8"/>
  <c r="J612" i="8"/>
  <c r="I612" i="8"/>
  <c r="H612" i="8"/>
  <c r="G612" i="8"/>
  <c r="F613" i="9"/>
  <c r="J612" i="9"/>
  <c r="I612" i="9"/>
  <c r="H612" i="9"/>
  <c r="G612" i="9"/>
  <c r="G613" i="9" l="1"/>
  <c r="I613" i="9"/>
  <c r="H613" i="9"/>
  <c r="F614" i="9"/>
  <c r="J613" i="9"/>
  <c r="J613" i="8"/>
  <c r="H613" i="8"/>
  <c r="G613" i="8"/>
  <c r="F614" i="8"/>
  <c r="I613" i="8"/>
  <c r="J614" i="4"/>
  <c r="H614" i="4"/>
  <c r="F615" i="4"/>
  <c r="I614" i="4"/>
  <c r="G614" i="4"/>
  <c r="J615" i="4" l="1"/>
  <c r="I615" i="4"/>
  <c r="H615" i="4"/>
  <c r="G615" i="4"/>
  <c r="F616" i="4"/>
  <c r="G614" i="8"/>
  <c r="J614" i="8"/>
  <c r="I614" i="8"/>
  <c r="H614" i="8"/>
  <c r="F615" i="8"/>
  <c r="H614" i="9"/>
  <c r="J614" i="9"/>
  <c r="I614" i="9"/>
  <c r="G614" i="9"/>
  <c r="F615" i="9"/>
  <c r="F616" i="9" l="1"/>
  <c r="J615" i="9"/>
  <c r="I615" i="9"/>
  <c r="H615" i="9"/>
  <c r="G615" i="9"/>
  <c r="G615" i="8"/>
  <c r="I615" i="8"/>
  <c r="H615" i="8"/>
  <c r="J615" i="8"/>
  <c r="F616" i="8"/>
  <c r="F617" i="4"/>
  <c r="J616" i="4"/>
  <c r="I616" i="4"/>
  <c r="H616" i="4"/>
  <c r="G616" i="4"/>
  <c r="I617" i="4" l="1"/>
  <c r="J617" i="4"/>
  <c r="G617" i="4"/>
  <c r="H617" i="4"/>
  <c r="F618" i="4"/>
  <c r="F617" i="8"/>
  <c r="J616" i="8"/>
  <c r="G616" i="8"/>
  <c r="I616" i="8"/>
  <c r="H616" i="8"/>
  <c r="H616" i="9"/>
  <c r="J616" i="9"/>
  <c r="F617" i="9"/>
  <c r="I616" i="9"/>
  <c r="G616" i="9"/>
  <c r="F618" i="9" l="1"/>
  <c r="I617" i="9"/>
  <c r="H617" i="9"/>
  <c r="J617" i="9"/>
  <c r="G617" i="9"/>
  <c r="J617" i="8"/>
  <c r="I617" i="8"/>
  <c r="H617" i="8"/>
  <c r="G617" i="8"/>
  <c r="F618" i="8"/>
  <c r="F619" i="4"/>
  <c r="I618" i="4"/>
  <c r="H618" i="4"/>
  <c r="G618" i="4"/>
  <c r="J618" i="4"/>
  <c r="J618" i="8" l="1"/>
  <c r="H618" i="8"/>
  <c r="G618" i="8"/>
  <c r="F619" i="8"/>
  <c r="I618" i="8"/>
  <c r="J619" i="4"/>
  <c r="F620" i="4"/>
  <c r="H619" i="4"/>
  <c r="I619" i="4"/>
  <c r="G619" i="4"/>
  <c r="G618" i="9"/>
  <c r="H618" i="9"/>
  <c r="F619" i="9"/>
  <c r="J618" i="9"/>
  <c r="I618" i="9"/>
  <c r="I619" i="9" l="1"/>
  <c r="F620" i="9"/>
  <c r="J619" i="9"/>
  <c r="H619" i="9"/>
  <c r="G619" i="9"/>
  <c r="J620" i="4"/>
  <c r="H620" i="4"/>
  <c r="F621" i="4"/>
  <c r="I620" i="4"/>
  <c r="G620" i="4"/>
  <c r="I619" i="8"/>
  <c r="H619" i="8"/>
  <c r="J619" i="8"/>
  <c r="G619" i="8"/>
  <c r="F620" i="8"/>
  <c r="I620" i="8" l="1"/>
  <c r="F621" i="8"/>
  <c r="J620" i="8"/>
  <c r="H620" i="8"/>
  <c r="G620" i="8"/>
  <c r="G621" i="4"/>
  <c r="J621" i="4"/>
  <c r="F622" i="4"/>
  <c r="I621" i="4"/>
  <c r="H621" i="4"/>
  <c r="F621" i="9"/>
  <c r="J620" i="9"/>
  <c r="I620" i="9"/>
  <c r="H620" i="9"/>
  <c r="G620" i="9"/>
  <c r="H622" i="4" l="1"/>
  <c r="F623" i="4"/>
  <c r="J622" i="4"/>
  <c r="I622" i="4"/>
  <c r="G622" i="4"/>
  <c r="J621" i="9"/>
  <c r="I621" i="9"/>
  <c r="H621" i="9"/>
  <c r="G621" i="9"/>
  <c r="F622" i="9"/>
  <c r="G621" i="8"/>
  <c r="F622" i="8"/>
  <c r="J621" i="8"/>
  <c r="I621" i="8"/>
  <c r="H621" i="8"/>
  <c r="J622" i="9" l="1"/>
  <c r="F623" i="9"/>
  <c r="I622" i="9"/>
  <c r="H622" i="9"/>
  <c r="G622" i="9"/>
  <c r="G622" i="8"/>
  <c r="I622" i="8"/>
  <c r="H622" i="8"/>
  <c r="F623" i="8"/>
  <c r="J622" i="8"/>
  <c r="F624" i="4"/>
  <c r="J623" i="4"/>
  <c r="I623" i="4"/>
  <c r="H623" i="4"/>
  <c r="G623" i="4"/>
  <c r="I623" i="9" l="1"/>
  <c r="H623" i="9"/>
  <c r="G623" i="9"/>
  <c r="J623" i="9"/>
  <c r="F624" i="9"/>
  <c r="G624" i="4"/>
  <c r="F625" i="4"/>
  <c r="J624" i="4"/>
  <c r="I624" i="4"/>
  <c r="H624" i="4"/>
  <c r="F624" i="8"/>
  <c r="J623" i="8"/>
  <c r="I623" i="8"/>
  <c r="H623" i="8"/>
  <c r="G623" i="8"/>
  <c r="F626" i="4" l="1"/>
  <c r="J625" i="4"/>
  <c r="I625" i="4"/>
  <c r="G625" i="4"/>
  <c r="H625" i="4"/>
  <c r="F625" i="8"/>
  <c r="J624" i="8"/>
  <c r="I624" i="8"/>
  <c r="H624" i="8"/>
  <c r="G624" i="8"/>
  <c r="F625" i="9"/>
  <c r="J624" i="9"/>
  <c r="H624" i="9"/>
  <c r="I624" i="9"/>
  <c r="G624" i="9"/>
  <c r="F626" i="9" l="1"/>
  <c r="G625" i="9"/>
  <c r="J625" i="9"/>
  <c r="I625" i="9"/>
  <c r="H625" i="9"/>
  <c r="F626" i="8"/>
  <c r="H625" i="8"/>
  <c r="G625" i="8"/>
  <c r="I625" i="8"/>
  <c r="J625" i="8"/>
  <c r="J626" i="4"/>
  <c r="G626" i="4"/>
  <c r="I626" i="4"/>
  <c r="F627" i="4"/>
  <c r="H626" i="4"/>
  <c r="I627" i="4" l="1"/>
  <c r="G627" i="4"/>
  <c r="J627" i="4"/>
  <c r="H627" i="4"/>
  <c r="F628" i="4"/>
  <c r="F627" i="8"/>
  <c r="I626" i="8"/>
  <c r="G626" i="8"/>
  <c r="H626" i="8"/>
  <c r="J626" i="8"/>
  <c r="H626" i="9"/>
  <c r="F627" i="9"/>
  <c r="J626" i="9"/>
  <c r="I626" i="9"/>
  <c r="G626" i="9"/>
  <c r="J627" i="9" l="1"/>
  <c r="F628" i="9"/>
  <c r="I627" i="9"/>
  <c r="H627" i="9"/>
  <c r="G627" i="9"/>
  <c r="G627" i="8"/>
  <c r="H627" i="8"/>
  <c r="F628" i="8"/>
  <c r="J627" i="8"/>
  <c r="I627" i="8"/>
  <c r="F629" i="4"/>
  <c r="J628" i="4"/>
  <c r="I628" i="4"/>
  <c r="H628" i="4"/>
  <c r="G628" i="4"/>
  <c r="J628" i="8" l="1"/>
  <c r="F629" i="8"/>
  <c r="I628" i="8"/>
  <c r="H628" i="8"/>
  <c r="G628" i="8"/>
  <c r="H629" i="4"/>
  <c r="G629" i="4"/>
  <c r="J629" i="4"/>
  <c r="F630" i="4"/>
  <c r="I629" i="4"/>
  <c r="F629" i="9"/>
  <c r="J628" i="9"/>
  <c r="I628" i="9"/>
  <c r="H628" i="9"/>
  <c r="G628" i="9"/>
  <c r="G629" i="9" l="1"/>
  <c r="F630" i="9"/>
  <c r="J629" i="9"/>
  <c r="I629" i="9"/>
  <c r="H629" i="9"/>
  <c r="H629" i="8"/>
  <c r="F630" i="8"/>
  <c r="G629" i="8"/>
  <c r="J629" i="8"/>
  <c r="I629" i="8"/>
  <c r="H630" i="4"/>
  <c r="J630" i="4"/>
  <c r="F631" i="4"/>
  <c r="I630" i="4"/>
  <c r="G630" i="4"/>
  <c r="H631" i="4" l="1"/>
  <c r="F632" i="4"/>
  <c r="J631" i="4"/>
  <c r="I631" i="4"/>
  <c r="G631" i="4"/>
  <c r="F631" i="8"/>
  <c r="J630" i="8"/>
  <c r="I630" i="8"/>
  <c r="H630" i="8"/>
  <c r="G630" i="8"/>
  <c r="F631" i="9"/>
  <c r="J630" i="9"/>
  <c r="I630" i="9"/>
  <c r="H630" i="9"/>
  <c r="G630" i="9"/>
  <c r="I632" i="4" l="1"/>
  <c r="J632" i="4"/>
  <c r="G632" i="4"/>
  <c r="H632" i="4"/>
  <c r="C38" i="4" s="1"/>
  <c r="C40" i="4" s="1"/>
  <c r="J631" i="9"/>
  <c r="H631" i="9"/>
  <c r="F632" i="9"/>
  <c r="I631" i="9"/>
  <c r="G631" i="9"/>
  <c r="H631" i="8"/>
  <c r="F632" i="8"/>
  <c r="J631" i="8"/>
  <c r="I631" i="8"/>
  <c r="G631" i="8"/>
  <c r="I632" i="8" l="1"/>
  <c r="H632" i="8"/>
  <c r="C38" i="8" s="1"/>
  <c r="C40" i="8" s="1"/>
  <c r="G632" i="8"/>
  <c r="J632" i="8"/>
  <c r="I632" i="9"/>
  <c r="H632" i="9"/>
  <c r="C38" i="9" s="1"/>
  <c r="C40" i="9" s="1"/>
  <c r="J632" i="9"/>
  <c r="G632" i="9"/>
</calcChain>
</file>

<file path=xl/sharedStrings.xml><?xml version="1.0" encoding="utf-8"?>
<sst xmlns="http://schemas.openxmlformats.org/spreadsheetml/2006/main" count="466" uniqueCount="276">
  <si>
    <t>Eiendomsinvesteringer for Leily AS</t>
  </si>
  <si>
    <t>Hafrsfjordgata 49</t>
  </si>
  <si>
    <t>Adresse 2</t>
  </si>
  <si>
    <t>Adresse 3</t>
  </si>
  <si>
    <t>Adresse 4</t>
  </si>
  <si>
    <t>Adresse 5</t>
  </si>
  <si>
    <t>Total sum</t>
  </si>
  <si>
    <t>Verdi</t>
  </si>
  <si>
    <t>Lån</t>
  </si>
  <si>
    <t>Rente</t>
  </si>
  <si>
    <t>Lånebelastning pr. enhet</t>
  </si>
  <si>
    <t>EK</t>
  </si>
  <si>
    <t>Lånebelastning totalt</t>
  </si>
  <si>
    <t>UTGIFTER: pr. år</t>
  </si>
  <si>
    <t>Renteutgifter</t>
  </si>
  <si>
    <t>Felles utgifter</t>
  </si>
  <si>
    <t>Kommunale avgifter</t>
  </si>
  <si>
    <t>Forsikring</t>
  </si>
  <si>
    <t>Strøm</t>
  </si>
  <si>
    <t>Avdrag *</t>
  </si>
  <si>
    <t>Utgifter pr. enhet:</t>
  </si>
  <si>
    <t>INNTEKTER: pr. år</t>
  </si>
  <si>
    <t>Leieinntekt</t>
  </si>
  <si>
    <t>Diverse inntekt</t>
  </si>
  <si>
    <t>Inntekter pr. enhet</t>
  </si>
  <si>
    <t>RESULTAT: før skatt</t>
  </si>
  <si>
    <t>Skatt 22%</t>
  </si>
  <si>
    <t>RESULTAT: etter skatt</t>
  </si>
  <si>
    <t>Rentefradrag</t>
  </si>
  <si>
    <t>Resultat e/ rentefradrag</t>
  </si>
  <si>
    <t>Pr. Mnd.</t>
  </si>
  <si>
    <t xml:space="preserve">* Avdragsfri til </t>
  </si>
  <si>
    <t>Hvis du har avdragsfrie lån så fører du det inn under</t>
  </si>
  <si>
    <t>NB! Dette arket er ikke koblet til noen lånekalkulator, så det er en forenklet utregning av renter. Ment kun for oversikt, ikke for kalkyler.</t>
  </si>
  <si>
    <t>F.eks.som en oversikt til bruk overfor banken din når du skal søke lån eller diskutere nye investeringer. Da må du selvsagt slette denne teksten.</t>
  </si>
  <si>
    <t>Pass på at du ser over denne oversikten og oppdaterer denne for din egen situasjon. Slett selvsagt kolonne for adresse 3 og 4 hvis du bare har 2 eiendommer.</t>
  </si>
  <si>
    <t>Privat kalkyle eiendomsinvestering</t>
  </si>
  <si>
    <t>Stavanger</t>
  </si>
  <si>
    <t>Verditakst</t>
  </si>
  <si>
    <t>Lånesum</t>
  </si>
  <si>
    <t>Lånebelastning</t>
  </si>
  <si>
    <t>Avdragsfrie år</t>
  </si>
  <si>
    <t>Avkastning ved boligkjøp</t>
  </si>
  <si>
    <t>Cashflow per mnd</t>
  </si>
  <si>
    <t>Nettoyield på eiendommen **</t>
  </si>
  <si>
    <t>Totalpris eiendom</t>
  </si>
  <si>
    <t>Leieinntekter</t>
  </si>
  <si>
    <t>Felleskost</t>
  </si>
  <si>
    <t>Driftskostnader</t>
  </si>
  <si>
    <t>Kom. Avg</t>
  </si>
  <si>
    <t>Netto leieinntekt</t>
  </si>
  <si>
    <t>Egenkapital</t>
  </si>
  <si>
    <t>Vedlikehold (5%)</t>
  </si>
  <si>
    <t>Kjøpesum</t>
  </si>
  <si>
    <t>Lånebelastning kjøpesum</t>
  </si>
  <si>
    <t>Diverse</t>
  </si>
  <si>
    <t>Netto yield</t>
  </si>
  <si>
    <t>Leieinntekt per mnd</t>
  </si>
  <si>
    <t>Skatt *</t>
  </si>
  <si>
    <t>Felleskostnader pr. mnd</t>
  </si>
  <si>
    <t>Ledighet (3%)</t>
  </si>
  <si>
    <t>Kommunale avgifter pr. mnd.</t>
  </si>
  <si>
    <t>Renter og avdrag</t>
  </si>
  <si>
    <t>Strøm, forsikring, diverse</t>
  </si>
  <si>
    <t>Netto leie pr. mnd. (før skatt)</t>
  </si>
  <si>
    <t>Skatt (22%)</t>
  </si>
  <si>
    <t>Netto leie etter skatt</t>
  </si>
  <si>
    <t>Rentekostnad</t>
  </si>
  <si>
    <t>Fradrag renter (22%)</t>
  </si>
  <si>
    <t>Sum etter finanskost og skatt</t>
  </si>
  <si>
    <t>Netto pr. år</t>
  </si>
  <si>
    <t>Avkastning egenkapitalen</t>
  </si>
  <si>
    <t>Dette arket kopierer du og har et eget for hver eiendom og hvert år.</t>
  </si>
  <si>
    <t>Lånebeløp og betingelser</t>
  </si>
  <si>
    <t>Termin</t>
  </si>
  <si>
    <t>Terminbeløp</t>
  </si>
  <si>
    <t>Renter</t>
  </si>
  <si>
    <t>Avdrag</t>
  </si>
  <si>
    <t>Restgjeld</t>
  </si>
  <si>
    <t>Ekstra innbetalt</t>
  </si>
  <si>
    <t>Periode</t>
  </si>
  <si>
    <t>Renter pr. År</t>
  </si>
  <si>
    <t>Avdrag pr. År</t>
  </si>
  <si>
    <t>Nominell rente per år (PA)</t>
  </si>
  <si>
    <t>År 1</t>
  </si>
  <si>
    <t>Nedbetalingstid, antall år</t>
  </si>
  <si>
    <t>År 2</t>
  </si>
  <si>
    <t>År 3</t>
  </si>
  <si>
    <t>Terminer per år</t>
  </si>
  <si>
    <t>År 4</t>
  </si>
  <si>
    <t>Termingebyr</t>
  </si>
  <si>
    <t>År 5</t>
  </si>
  <si>
    <t>Tinglysningsgebyr</t>
  </si>
  <si>
    <t>År 6</t>
  </si>
  <si>
    <t>Etableringsgebyr</t>
  </si>
  <si>
    <t>År 7</t>
  </si>
  <si>
    <t>Inkludere gebyrer i lånebeløp?</t>
  </si>
  <si>
    <t>Ja</t>
  </si>
  <si>
    <t>År 8</t>
  </si>
  <si>
    <t>År 9</t>
  </si>
  <si>
    <t>Avdrag, renter andre kostnader</t>
  </si>
  <si>
    <t>Effekt ekstra innb</t>
  </si>
  <si>
    <t>År 10</t>
  </si>
  <si>
    <t>Lånebeløp inkl gebyrer</t>
  </si>
  <si>
    <t>Avdrag og rente/termin</t>
  </si>
  <si>
    <t>Nedbetalt i perioden</t>
  </si>
  <si>
    <t>Etablering og tinglysning</t>
  </si>
  <si>
    <t>Sum kostnader</t>
  </si>
  <si>
    <t>Total kostnad i % av lånesum</t>
  </si>
  <si>
    <t>Termingebyr utgjør</t>
  </si>
  <si>
    <t>Kostnad ved forskjellig nedbetalingstid</t>
  </si>
  <si>
    <t>%</t>
  </si>
  <si>
    <t xml:space="preserve">Effekt av ekstra innbetaling </t>
  </si>
  <si>
    <t>Sum renter</t>
  </si>
  <si>
    <t>Spart rentekostnad</t>
  </si>
  <si>
    <t>Oversikt eiendomsinvestering og regnskap for årlig utleie</t>
  </si>
  <si>
    <t>Adresse</t>
  </si>
  <si>
    <t xml:space="preserve">Postnr </t>
  </si>
  <si>
    <t>Sted</t>
  </si>
  <si>
    <t>Gnr. Xxx</t>
  </si>
  <si>
    <t>Bnr. XXX</t>
  </si>
  <si>
    <t>Snr. X</t>
  </si>
  <si>
    <t>x. etg.</t>
  </si>
  <si>
    <t>x kvm.</t>
  </si>
  <si>
    <t>Sameiet XX</t>
  </si>
  <si>
    <t>Bolig</t>
  </si>
  <si>
    <t>Leietaker:</t>
  </si>
  <si>
    <t>Fra:</t>
  </si>
  <si>
    <t>Til:</t>
  </si>
  <si>
    <t>Navn navnesen</t>
  </si>
  <si>
    <t>Måned</t>
  </si>
  <si>
    <t>Fellesutgifter</t>
  </si>
  <si>
    <t>Kom. Avg.</t>
  </si>
  <si>
    <t>Merknad</t>
  </si>
  <si>
    <t>Januar</t>
  </si>
  <si>
    <t>Februar</t>
  </si>
  <si>
    <t>Ny ovn</t>
  </si>
  <si>
    <t>Mars</t>
  </si>
  <si>
    <t>April</t>
  </si>
  <si>
    <t>Mai</t>
  </si>
  <si>
    <t>Juni</t>
  </si>
  <si>
    <t>Finn</t>
  </si>
  <si>
    <t>Juli</t>
  </si>
  <si>
    <t>August</t>
  </si>
  <si>
    <t>September</t>
  </si>
  <si>
    <t>Oktober</t>
  </si>
  <si>
    <t>November</t>
  </si>
  <si>
    <t>Desember</t>
  </si>
  <si>
    <t>Kjøring</t>
  </si>
  <si>
    <t>Sum</t>
  </si>
  <si>
    <t>Skattepliktig inntekt</t>
  </si>
  <si>
    <t>Dette er det beløpet du skatter av umøblert *</t>
  </si>
  <si>
    <t>Skatt - 22%</t>
  </si>
  <si>
    <t>Celler merket med denne fargen må fylles ut manuelt</t>
  </si>
  <si>
    <t>Dette arket kopierer du og har et eget ark for hver eiendom og hvert år.</t>
  </si>
  <si>
    <t>Sammenligning 2 eiendomsinvesteringer for utleie privat</t>
  </si>
  <si>
    <t>Eiendom A</t>
  </si>
  <si>
    <t>Eiendom B</t>
  </si>
  <si>
    <t>Netto leie pr. mnd. før skatt</t>
  </si>
  <si>
    <t>Skatt</t>
  </si>
  <si>
    <t>Rentekostnad *</t>
  </si>
  <si>
    <t>Avdragsdel (egen sparing)</t>
  </si>
  <si>
    <t>Nettoyield på eiendommene - for å sammenligne med andre investeringer</t>
  </si>
  <si>
    <t xml:space="preserve">Sum med 7,5% avkastning </t>
  </si>
  <si>
    <t>* samme her som på kalkylearket. Det er ikke tatt med fradrag for 22% av rentekostnaden i dette oppsettet.</t>
  </si>
  <si>
    <t>Beregning av skatt på gevinst ved salg av sekundærbolig</t>
  </si>
  <si>
    <t>Totale omkostninger ved kjøp</t>
  </si>
  <si>
    <t>Omkostninger spesifisert:</t>
  </si>
  <si>
    <t>Dokumentavgift</t>
  </si>
  <si>
    <t>Eierskiftegebyr (hvis aktuelt)</t>
  </si>
  <si>
    <t>Boligkjøperforsikring (hvis aktuelt)</t>
  </si>
  <si>
    <t xml:space="preserve">Evt. andre relaterte kjøpskostnader </t>
  </si>
  <si>
    <t>Tinglysingegebyr pantedokument</t>
  </si>
  <si>
    <t>Tinglysingegebyr skjøte</t>
  </si>
  <si>
    <t>Panteattest</t>
  </si>
  <si>
    <t>Inngangsverdi</t>
  </si>
  <si>
    <t>Salgssum</t>
  </si>
  <si>
    <t>Totale omkostninger ved salg</t>
  </si>
  <si>
    <t>Meglerkostnader inkl. MF</t>
  </si>
  <si>
    <t>Eierskifteforsikring (hvis aktuelt)</t>
  </si>
  <si>
    <t>Styling (hvis aktuelt)</t>
  </si>
  <si>
    <t>Takstmann</t>
  </si>
  <si>
    <t>Diverse (hvis aktuelt)</t>
  </si>
  <si>
    <t>Oppgradering av boligens standard *</t>
  </si>
  <si>
    <t>Utgangsverdi</t>
  </si>
  <si>
    <t xml:space="preserve">Skattepliktig gevinst </t>
  </si>
  <si>
    <t>Utgangsverdi - salgsvederlag</t>
  </si>
  <si>
    <t>-</t>
  </si>
  <si>
    <t>=</t>
  </si>
  <si>
    <t>Skattepliktig gevinst</t>
  </si>
  <si>
    <t>* Du kan ikke kreve fradrag for vedlikeholdskostnader, men det som regnes som</t>
  </si>
  <si>
    <t>oppgradering pga. nivåheving kan trekkes ifra på skattemessig beregning av</t>
  </si>
  <si>
    <t>gevinst ved salg. Disse kostnadene må kunne dokumenteres spesifisert.</t>
  </si>
  <si>
    <t>Bruksanvisning</t>
  </si>
  <si>
    <t>Det er ganske enkelt oppsett i arkene:</t>
  </si>
  <si>
    <t>Celler i denne fargen skal ikke røres</t>
  </si>
  <si>
    <t>Celler i denne fargen fyller du ut dine tall i</t>
  </si>
  <si>
    <t>De mørkegrå inneholder formler og der får du ut ferdig behandlede tall.</t>
  </si>
  <si>
    <t>De lysegrå legger du inn ønsket kjøpesum, renter, leieinntekter, kostnader etc.</t>
  </si>
  <si>
    <t>De ulike lånekalkulatorene er koblet til aktuelle ark og skal ikke røres.</t>
  </si>
  <si>
    <t>Alt i lånekalkulatorene hentes fra det arket det er koblet sammen.</t>
  </si>
  <si>
    <t xml:space="preserve">Hvis du skal dra ut kalkylearket og lage et eget Excel ark må du huske på å ta med </t>
  </si>
  <si>
    <t>fanen som er merket Lån - Kalkyle 2021 f. eks.</t>
  </si>
  <si>
    <t>Kalkyle - 2021 er for å regne på eiendom og kunne legge ved som vedlegg til bank</t>
  </si>
  <si>
    <t>ved søk om finansiering på nye objekter.</t>
  </si>
  <si>
    <t xml:space="preserve">Oversikt 1 objekt er det jeg har brukt til hver eiendom, så det kopierer jeg bare og lager ett ekstra </t>
  </si>
  <si>
    <t>for hver eiendom jeg har. Så har jeg dette utfylt til hver gang ligningen kommer.</t>
  </si>
  <si>
    <t>Et eget for hver eiendom og hvert år.</t>
  </si>
  <si>
    <t>Total Oversikt arket er ikke koblet til noen lånekalkulator, da dette er noe du må holde</t>
  </si>
  <si>
    <t>ajour selv. Og dette bruker du bare når du skal oppdatere banken.</t>
  </si>
  <si>
    <t>Husk at når du presenterer til bank så skal aldri worst case scenario være presentert av deg.</t>
  </si>
  <si>
    <t>Det klarer de fint selv. Du må vise ulike løsninger hvis alt ikke går etter plan, men aldri worst case.</t>
  </si>
  <si>
    <t>HUSK AT ALT DETTE ER MALER - MALER ER TIL FOR Å ENDRES. DU MÅ SELV</t>
  </si>
  <si>
    <t>PASSE PÅ Å FJERNE TEKST SOM IKKE SKAL VÆRE MED OG RENSKRIVE DETTE </t>
  </si>
  <si>
    <t>FØR DU SENDER MED TIL BANKEN. DU FREMSTÅR SOM LITE PROFF HVIS REGNEARKENE</t>
  </si>
  <si>
    <t>DINE IKKE ER 100% PERFEKTE. HUSK BANKEN SKAL LÅNE DEG PENGER.</t>
  </si>
  <si>
    <t>DA MÅ DE STOLE PÅ AT DU HAR KONTROLL. UNNGÅ SKRIVEFEIL.</t>
  </si>
  <si>
    <t>Jeg håper dette kan være til hjelp til deg.</t>
  </si>
  <si>
    <t>Finner du noen feil så gi meg gjerne melding om dette.</t>
  </si>
  <si>
    <t>RISIKOVURDERING OG PACE-PLAN</t>
  </si>
  <si>
    <t>RISIKO- OG SÅRBARHETSANALYSE (ROS)</t>
  </si>
  <si>
    <t>Hendelse / risiko</t>
  </si>
  <si>
    <t>Sannsynlighet (1–5)</t>
  </si>
  <si>
    <t>Konsekvens (1–5)</t>
  </si>
  <si>
    <t>Risikonivå</t>
  </si>
  <si>
    <t>Kommentar / beskrivelse</t>
  </si>
  <si>
    <t>Tiltak / reduksjon</t>
  </si>
  <si>
    <t>Ledighet / tap av leietakere</t>
  </si>
  <si>
    <t>Kan føre til lavere kontantstrøm i perioder</t>
  </si>
  <si>
    <t>Opprette bufferkonto, aktiv markedsføring</t>
  </si>
  <si>
    <t>Renteøkning</t>
  </si>
  <si>
    <t>Rente stiger over 6 %, høyere månedlige kostnader</t>
  </si>
  <si>
    <t>Vurdere fastrente eller ekstra nedbetaling</t>
  </si>
  <si>
    <t>Uforutsett vedlikehold</t>
  </si>
  <si>
    <t>Tak, rør eller bad krever akutt utbedring</t>
  </si>
  <si>
    <t>Opprette vedlikeholdsfond</t>
  </si>
  <si>
    <t>Endring i boligmarkedet</t>
  </si>
  <si>
    <t>Lavere verdi ved salg</t>
  </si>
  <si>
    <t>Langsiktig investeringshorisont</t>
  </si>
  <si>
    <t>Forsikringskostnader øker</t>
  </si>
  <si>
    <t>Prisjusteringer fra forsikringsselskap</t>
  </si>
  <si>
    <t>Sammenligne forsikring årlig</t>
  </si>
  <si>
    <t>PACE-PLAN (Primary, Alternate, Contingency, Emergency)</t>
  </si>
  <si>
    <t>Risiko / situasjon</t>
  </si>
  <si>
    <t>Primary (hovedløsning)</t>
  </si>
  <si>
    <t>Alternate (alternativ)</t>
  </si>
  <si>
    <t>Contingency (reserve)</t>
  </si>
  <si>
    <t>Emergency (kriseplan)</t>
  </si>
  <si>
    <t>Ansvarlig</t>
  </si>
  <si>
    <t>Ledighet</t>
  </si>
  <si>
    <t>Screening av leietakere</t>
  </si>
  <si>
    <t>Prisjustering</t>
  </si>
  <si>
    <t>Markedsføring</t>
  </si>
  <si>
    <t>Korttidsutleie (Airbnb)</t>
  </si>
  <si>
    <t>Utleieansvarlig</t>
  </si>
  <si>
    <t>Forhandle lavere rente</t>
  </si>
  <si>
    <t>Fast rente</t>
  </si>
  <si>
    <t>Ekstra nedbetaling</t>
  </si>
  <si>
    <t>Selge eiendom</t>
  </si>
  <si>
    <t>Daglig leder</t>
  </si>
  <si>
    <t>Vedlikehold</t>
  </si>
  <si>
    <t>Forebyggende vedlikehold</t>
  </si>
  <si>
    <t>Serviceavtaler</t>
  </si>
  <si>
    <t>Vedlikeholdsfond</t>
  </si>
  <si>
    <t>Leie inn entreprenør</t>
  </si>
  <si>
    <t>Driftsansvarlig</t>
  </si>
  <si>
    <t>Tap av leieinntekt</t>
  </si>
  <si>
    <t>Forsikring for leietap</t>
  </si>
  <si>
    <t>Bufferkonto</t>
  </si>
  <si>
    <t>Lån fra eier</t>
  </si>
  <si>
    <t>Salg av inventar</t>
  </si>
  <si>
    <t>Økonomiansvarlig</t>
  </si>
  <si>
    <t>OPPSUMMERING OG TOTAL RISIKOVURDERING</t>
  </si>
  <si>
    <t>Gjennomsnittlig risikonivå</t>
  </si>
  <si>
    <t>Kommentar til risikobilde</t>
  </si>
  <si>
    <t>Samlet risiko vurderes som middels. Tiltak bør revideres årlig eller ved store markedsendringer.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</si>
</sst>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 kr &quot;#,##0\ ;&quot; kr (&quot;#,##0\);&quot; kr -&quot;#\ ;@\ "/>
    <numFmt numFmtId="165" formatCode="&quot; kr &quot;#,##0.00\ ;&quot; kr (&quot;#,##0.00\);&quot; kr -&quot;#\ ;@\ "/>
    <numFmt numFmtId="166" formatCode="_-* #,##0_-;\-* #,##0_-;_-* \-??_-;_-@"/>
    <numFmt numFmtId="167" formatCode="0.0"/>
    <numFmt numFmtId="168" formatCode="0.0%"/>
  </numFmts>
  <fonts count="25" x14ac:knownFonts="1">
    <font>
      <sz val="10"/>
      <color rgb="FF000000"/>
      <name val="Arial"/>
      <scheme val="minor"/>
    </font>
    <font>
      <sz val="10"/>
      <color theme="1"/>
      <name val="Arial"/>
    </font>
    <font>
      <b/>
      <u/>
      <sz val="16"/>
      <color theme="1"/>
      <name val="Arial"/>
    </font>
    <font>
      <sz val="10"/>
      <name val="Arial"/>
    </font>
    <font>
      <b/>
      <u/>
      <sz val="16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u/>
      <sz val="16"/>
      <color theme="1"/>
      <name val="Arial"/>
    </font>
    <font>
      <sz val="20"/>
      <color theme="1"/>
      <name val="Arial"/>
    </font>
    <font>
      <b/>
      <sz val="14"/>
      <color theme="1"/>
      <name val="Arial"/>
    </font>
    <font>
      <sz val="11"/>
      <color rgb="FFFFFFFF"/>
      <name val="Calibri"/>
    </font>
    <font>
      <sz val="11"/>
      <color rgb="FF000000"/>
      <name val="Calibri"/>
    </font>
    <font>
      <sz val="11"/>
      <color theme="0"/>
      <name val="Calibri"/>
    </font>
    <font>
      <sz val="10"/>
      <color theme="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theme="0"/>
      <name val="Arial"/>
    </font>
    <font>
      <b/>
      <sz val="11"/>
      <color theme="0"/>
      <name val="Calibri"/>
    </font>
    <font>
      <b/>
      <sz val="11"/>
      <color theme="1"/>
      <name val="Calibri"/>
    </font>
    <font>
      <sz val="11"/>
      <color rgb="FFD0CECE"/>
      <name val="Calibri"/>
    </font>
    <font>
      <b/>
      <sz val="20"/>
      <color theme="1"/>
      <name val="Arial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11"/>
      <color rgb="FF666666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7F7F7F"/>
        <bgColor rgb="FF7F7F7F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BFBFBF"/>
        <bgColor rgb="FFBFBFBF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6DCE4"/>
        <bgColor rgb="FFD6DCE4"/>
      </patternFill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5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164" fontId="5" fillId="2" borderId="6" xfId="0" applyNumberFormat="1" applyFont="1" applyFill="1" applyBorder="1" applyAlignment="1">
      <alignment horizontal="right"/>
    </xf>
    <xf numFmtId="164" fontId="5" fillId="4" borderId="6" xfId="0" applyNumberFormat="1" applyFont="1" applyFill="1" applyBorder="1"/>
    <xf numFmtId="164" fontId="1" fillId="2" borderId="6" xfId="0" applyNumberFormat="1" applyFont="1" applyFill="1" applyBorder="1" applyAlignment="1">
      <alignment horizontal="right"/>
    </xf>
    <xf numFmtId="164" fontId="1" fillId="4" borderId="6" xfId="0" applyNumberFormat="1" applyFont="1" applyFill="1" applyBorder="1"/>
    <xf numFmtId="0" fontId="5" fillId="4" borderId="6" xfId="0" applyFont="1" applyFill="1" applyBorder="1"/>
    <xf numFmtId="0" fontId="1" fillId="0" borderId="6" xfId="0" applyFont="1" applyBorder="1"/>
    <xf numFmtId="9" fontId="5" fillId="4" borderId="6" xfId="0" applyNumberFormat="1" applyFont="1" applyFill="1" applyBorder="1"/>
    <xf numFmtId="9" fontId="5" fillId="0" borderId="6" xfId="0" applyNumberFormat="1" applyFont="1" applyBorder="1"/>
    <xf numFmtId="0" fontId="5" fillId="2" borderId="1" xfId="0" applyFont="1" applyFill="1" applyBorder="1"/>
    <xf numFmtId="9" fontId="5" fillId="0" borderId="0" xfId="0" applyNumberFormat="1" applyFont="1"/>
    <xf numFmtId="0" fontId="5" fillId="5" borderId="1" xfId="0" applyFont="1" applyFill="1" applyBorder="1"/>
    <xf numFmtId="164" fontId="1" fillId="0" borderId="6" xfId="0" applyNumberFormat="1" applyFont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164" fontId="5" fillId="2" borderId="1" xfId="0" applyNumberFormat="1" applyFont="1" applyFill="1" applyBorder="1"/>
    <xf numFmtId="165" fontId="1" fillId="2" borderId="1" xfId="0" applyNumberFormat="1" applyFont="1" applyFill="1" applyBorder="1"/>
    <xf numFmtId="9" fontId="1" fillId="2" borderId="1" xfId="0" applyNumberFormat="1" applyFont="1" applyFill="1" applyBorder="1"/>
    <xf numFmtId="14" fontId="1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10" fillId="4" borderId="7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4" borderId="8" xfId="0" applyFont="1" applyFill="1" applyBorder="1"/>
    <xf numFmtId="0" fontId="10" fillId="4" borderId="9" xfId="0" applyFont="1" applyFill="1" applyBorder="1" applyAlignment="1">
      <alignment horizontal="center"/>
    </xf>
    <xf numFmtId="3" fontId="11" fillId="6" borderId="10" xfId="0" applyNumberFormat="1" applyFont="1" applyFill="1" applyBorder="1" applyAlignment="1">
      <alignment horizontal="right"/>
    </xf>
    <xf numFmtId="3" fontId="12" fillId="4" borderId="11" xfId="0" applyNumberFormat="1" applyFont="1" applyFill="1" applyBorder="1" applyAlignment="1">
      <alignment horizontal="right"/>
    </xf>
    <xf numFmtId="10" fontId="13" fillId="4" borderId="11" xfId="0" applyNumberFormat="1" applyFont="1" applyFill="1" applyBorder="1"/>
    <xf numFmtId="0" fontId="1" fillId="6" borderId="12" xfId="0" applyFont="1" applyFill="1" applyBorder="1"/>
    <xf numFmtId="0" fontId="10" fillId="4" borderId="13" xfId="0" applyFont="1" applyFill="1" applyBorder="1"/>
    <xf numFmtId="3" fontId="14" fillId="4" borderId="14" xfId="0" applyNumberFormat="1" applyFont="1" applyFill="1" applyBorder="1"/>
    <xf numFmtId="0" fontId="12" fillId="7" borderId="15" xfId="0" applyFont="1" applyFill="1" applyBorder="1"/>
    <xf numFmtId="0" fontId="14" fillId="7" borderId="16" xfId="0" applyFont="1" applyFill="1" applyBorder="1"/>
    <xf numFmtId="0" fontId="12" fillId="7" borderId="13" xfId="0" applyFont="1" applyFill="1" applyBorder="1"/>
    <xf numFmtId="0" fontId="14" fillId="7" borderId="14" xfId="0" applyFont="1" applyFill="1" applyBorder="1"/>
    <xf numFmtId="0" fontId="14" fillId="8" borderId="17" xfId="0" applyFont="1" applyFill="1" applyBorder="1"/>
    <xf numFmtId="3" fontId="15" fillId="0" borderId="0" xfId="0" applyNumberFormat="1" applyFont="1"/>
    <xf numFmtId="166" fontId="13" fillId="4" borderId="18" xfId="0" applyNumberFormat="1" applyFont="1" applyFill="1" applyBorder="1"/>
    <xf numFmtId="9" fontId="1" fillId="0" borderId="7" xfId="0" applyNumberFormat="1" applyFont="1" applyBorder="1"/>
    <xf numFmtId="166" fontId="13" fillId="4" borderId="9" xfId="0" applyNumberFormat="1" applyFont="1" applyFill="1" applyBorder="1"/>
    <xf numFmtId="0" fontId="14" fillId="8" borderId="19" xfId="0" applyFont="1" applyFill="1" applyBorder="1"/>
    <xf numFmtId="0" fontId="14" fillId="6" borderId="20" xfId="0" applyFont="1" applyFill="1" applyBorder="1" applyAlignment="1">
      <alignment horizontal="right"/>
    </xf>
    <xf numFmtId="9" fontId="1" fillId="0" borderId="10" xfId="0" applyNumberFormat="1" applyFont="1" applyBorder="1"/>
    <xf numFmtId="166" fontId="13" fillId="4" borderId="12" xfId="0" applyNumberFormat="1" applyFont="1" applyFill="1" applyBorder="1"/>
    <xf numFmtId="3" fontId="12" fillId="4" borderId="20" xfId="0" applyNumberFormat="1" applyFont="1" applyFill="1" applyBorder="1" applyAlignment="1">
      <alignment horizontal="right"/>
    </xf>
    <xf numFmtId="166" fontId="13" fillId="4" borderId="20" xfId="0" applyNumberFormat="1" applyFont="1" applyFill="1" applyBorder="1"/>
    <xf numFmtId="9" fontId="1" fillId="0" borderId="21" xfId="0" applyNumberFormat="1" applyFont="1" applyBorder="1"/>
    <xf numFmtId="9" fontId="1" fillId="0" borderId="22" xfId="0" applyNumberFormat="1" applyFont="1" applyBorder="1"/>
    <xf numFmtId="166" fontId="13" fillId="4" borderId="23" xfId="0" applyNumberFormat="1" applyFont="1" applyFill="1" applyBorder="1"/>
    <xf numFmtId="10" fontId="1" fillId="6" borderId="20" xfId="0" applyNumberFormat="1" applyFont="1" applyFill="1" applyBorder="1"/>
    <xf numFmtId="9" fontId="16" fillId="7" borderId="24" xfId="0" applyNumberFormat="1" applyFont="1" applyFill="1" applyBorder="1"/>
    <xf numFmtId="10" fontId="16" fillId="7" borderId="25" xfId="0" applyNumberFormat="1" applyFont="1" applyFill="1" applyBorder="1"/>
    <xf numFmtId="166" fontId="6" fillId="6" borderId="20" xfId="0" applyNumberFormat="1" applyFont="1" applyFill="1" applyBorder="1" applyAlignment="1">
      <alignment horizontal="right"/>
    </xf>
    <xf numFmtId="166" fontId="1" fillId="0" borderId="0" xfId="0" applyNumberFormat="1" applyFont="1"/>
    <xf numFmtId="0" fontId="12" fillId="7" borderId="10" xfId="0" applyFont="1" applyFill="1" applyBorder="1"/>
    <xf numFmtId="3" fontId="17" fillId="7" borderId="12" xfId="0" applyNumberFormat="1" applyFont="1" applyFill="1" applyBorder="1" applyAlignment="1">
      <alignment horizontal="right"/>
    </xf>
    <xf numFmtId="0" fontId="14" fillId="0" borderId="0" xfId="0" applyFont="1"/>
    <xf numFmtId="0" fontId="14" fillId="0" borderId="26" xfId="0" applyFont="1" applyBorder="1"/>
    <xf numFmtId="9" fontId="5" fillId="0" borderId="27" xfId="0" applyNumberFormat="1" applyFont="1" applyBorder="1"/>
    <xf numFmtId="166" fontId="14" fillId="0" borderId="28" xfId="0" applyNumberFormat="1" applyFont="1" applyBorder="1"/>
    <xf numFmtId="0" fontId="14" fillId="0" borderId="29" xfId="0" applyFont="1" applyBorder="1"/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8" fillId="8" borderId="19" xfId="0" applyFont="1" applyFill="1" applyBorder="1"/>
    <xf numFmtId="166" fontId="13" fillId="4" borderId="33" xfId="0" applyNumberFormat="1" applyFont="1" applyFill="1" applyBorder="1"/>
    <xf numFmtId="0" fontId="18" fillId="8" borderId="34" xfId="0" applyFont="1" applyFill="1" applyBorder="1"/>
    <xf numFmtId="0" fontId="12" fillId="7" borderId="24" xfId="0" applyFont="1" applyFill="1" applyBorder="1"/>
    <xf numFmtId="165" fontId="1" fillId="0" borderId="0" xfId="0" applyNumberFormat="1" applyFont="1"/>
    <xf numFmtId="164" fontId="5" fillId="0" borderId="0" xfId="0" applyNumberFormat="1" applyFont="1"/>
    <xf numFmtId="3" fontId="14" fillId="0" borderId="0" xfId="0" applyNumberFormat="1" applyFont="1"/>
    <xf numFmtId="0" fontId="14" fillId="0" borderId="0" xfId="0" applyFont="1" applyAlignment="1">
      <alignment horizontal="center" vertical="center"/>
    </xf>
    <xf numFmtId="0" fontId="12" fillId="7" borderId="37" xfId="0" applyFont="1" applyFill="1" applyBorder="1"/>
    <xf numFmtId="0" fontId="12" fillId="7" borderId="38" xfId="0" applyFont="1" applyFill="1" applyBorder="1"/>
    <xf numFmtId="3" fontId="14" fillId="9" borderId="37" xfId="0" applyNumberFormat="1" applyFont="1" applyFill="1" applyBorder="1"/>
    <xf numFmtId="3" fontId="12" fillId="7" borderId="37" xfId="0" applyNumberFormat="1" applyFont="1" applyFill="1" applyBorder="1"/>
    <xf numFmtId="4" fontId="14" fillId="9" borderId="37" xfId="0" applyNumberFormat="1" applyFont="1" applyFill="1" applyBorder="1"/>
    <xf numFmtId="0" fontId="14" fillId="10" borderId="37" xfId="0" applyFont="1" applyFill="1" applyBorder="1"/>
    <xf numFmtId="3" fontId="14" fillId="10" borderId="37" xfId="0" applyNumberFormat="1" applyFont="1" applyFill="1" applyBorder="1"/>
    <xf numFmtId="3" fontId="14" fillId="9" borderId="39" xfId="0" applyNumberFormat="1" applyFont="1" applyFill="1" applyBorder="1"/>
    <xf numFmtId="0" fontId="14" fillId="0" borderId="6" xfId="0" applyFont="1" applyBorder="1" applyAlignment="1">
      <alignment horizontal="center"/>
    </xf>
    <xf numFmtId="3" fontId="14" fillId="0" borderId="6" xfId="0" applyNumberFormat="1" applyFont="1" applyBorder="1"/>
    <xf numFmtId="3" fontId="14" fillId="6" borderId="37" xfId="0" applyNumberFormat="1" applyFont="1" applyFill="1" applyBorder="1"/>
    <xf numFmtId="0" fontId="12" fillId="7" borderId="1" xfId="0" applyFont="1" applyFill="1" applyBorder="1"/>
    <xf numFmtId="3" fontId="14" fillId="9" borderId="1" xfId="0" applyNumberFormat="1" applyFont="1" applyFill="1" applyBorder="1"/>
    <xf numFmtId="0" fontId="12" fillId="7" borderId="37" xfId="0" applyFont="1" applyFill="1" applyBorder="1" applyAlignment="1">
      <alignment horizontal="center" vertical="center"/>
    </xf>
    <xf numFmtId="0" fontId="12" fillId="7" borderId="37" xfId="0" applyFont="1" applyFill="1" applyBorder="1" applyAlignment="1">
      <alignment horizontal="left"/>
    </xf>
    <xf numFmtId="167" fontId="14" fillId="10" borderId="37" xfId="0" applyNumberFormat="1" applyFont="1" applyFill="1" applyBorder="1" applyAlignment="1">
      <alignment horizontal="right" vertical="center"/>
    </xf>
    <xf numFmtId="167" fontId="14" fillId="10" borderId="1" xfId="0" applyNumberFormat="1" applyFont="1" applyFill="1" applyBorder="1" applyAlignment="1">
      <alignment horizontal="right" vertical="center"/>
    </xf>
    <xf numFmtId="3" fontId="14" fillId="0" borderId="0" xfId="0" applyNumberFormat="1" applyFont="1" applyAlignment="1">
      <alignment horizontal="center" vertical="center"/>
    </xf>
    <xf numFmtId="3" fontId="19" fillId="0" borderId="0" xfId="0" applyNumberFormat="1" applyFont="1"/>
    <xf numFmtId="167" fontId="14" fillId="10" borderId="37" xfId="0" applyNumberFormat="1" applyFont="1" applyFill="1" applyBorder="1" applyAlignment="1">
      <alignment horizontal="center" vertical="center"/>
    </xf>
    <xf numFmtId="0" fontId="19" fillId="0" borderId="0" xfId="0" applyFont="1"/>
    <xf numFmtId="0" fontId="10" fillId="4" borderId="9" xfId="0" applyFont="1" applyFill="1" applyBorder="1"/>
    <xf numFmtId="3" fontId="11" fillId="2" borderId="10" xfId="0" applyNumberFormat="1" applyFont="1" applyFill="1" applyBorder="1" applyAlignment="1">
      <alignment horizontal="right"/>
    </xf>
    <xf numFmtId="10" fontId="13" fillId="4" borderId="12" xfId="0" applyNumberFormat="1" applyFont="1" applyFill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40" xfId="0" applyFont="1" applyBorder="1"/>
    <xf numFmtId="166" fontId="1" fillId="2" borderId="6" xfId="0" applyNumberFormat="1" applyFont="1" applyFill="1" applyBorder="1"/>
    <xf numFmtId="0" fontId="1" fillId="2" borderId="6" xfId="0" applyFont="1" applyFill="1" applyBorder="1"/>
    <xf numFmtId="0" fontId="1" fillId="0" borderId="20" xfId="0" applyFont="1" applyBorder="1"/>
    <xf numFmtId="0" fontId="5" fillId="0" borderId="10" xfId="0" applyFont="1" applyBorder="1"/>
    <xf numFmtId="166" fontId="5" fillId="0" borderId="11" xfId="0" applyNumberFormat="1" applyFont="1" applyBorder="1"/>
    <xf numFmtId="0" fontId="5" fillId="0" borderId="11" xfId="0" applyFont="1" applyBorder="1"/>
    <xf numFmtId="0" fontId="1" fillId="0" borderId="12" xfId="0" applyFont="1" applyBorder="1"/>
    <xf numFmtId="0" fontId="1" fillId="0" borderId="2" xfId="0" applyFont="1" applyBorder="1"/>
    <xf numFmtId="166" fontId="5" fillId="0" borderId="3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5" fillId="0" borderId="2" xfId="0" applyFont="1" applyBorder="1"/>
    <xf numFmtId="166" fontId="5" fillId="0" borderId="4" xfId="0" applyNumberFormat="1" applyFont="1" applyBorder="1"/>
    <xf numFmtId="0" fontId="20" fillId="0" borderId="0" xfId="0" applyFont="1" applyAlignment="1">
      <alignment horizontal="center"/>
    </xf>
    <xf numFmtId="0" fontId="10" fillId="4" borderId="41" xfId="0" applyFont="1" applyFill="1" applyBorder="1"/>
    <xf numFmtId="0" fontId="10" fillId="4" borderId="14" xfId="0" applyFont="1" applyFill="1" applyBorder="1"/>
    <xf numFmtId="3" fontId="11" fillId="2" borderId="11" xfId="0" applyNumberFormat="1" applyFont="1" applyFill="1" applyBorder="1" applyAlignment="1">
      <alignment horizontal="center"/>
    </xf>
    <xf numFmtId="3" fontId="11" fillId="2" borderId="11" xfId="0" applyNumberFormat="1" applyFont="1" applyFill="1" applyBorder="1" applyAlignment="1">
      <alignment horizontal="right"/>
    </xf>
    <xf numFmtId="0" fontId="10" fillId="4" borderId="42" xfId="0" applyFont="1" applyFill="1" applyBorder="1"/>
    <xf numFmtId="3" fontId="14" fillId="4" borderId="43" xfId="0" applyNumberFormat="1" applyFont="1" applyFill="1" applyBorder="1"/>
    <xf numFmtId="3" fontId="11" fillId="2" borderId="18" xfId="0" applyNumberFormat="1" applyFont="1" applyFill="1" applyBorder="1" applyAlignment="1">
      <alignment horizontal="right"/>
    </xf>
    <xf numFmtId="4" fontId="11" fillId="2" borderId="20" xfId="0" applyNumberFormat="1" applyFont="1" applyFill="1" applyBorder="1" applyAlignment="1">
      <alignment horizontal="right"/>
    </xf>
    <xf numFmtId="4" fontId="12" fillId="4" borderId="20" xfId="0" applyNumberFormat="1" applyFont="1" applyFill="1" applyBorder="1" applyAlignment="1">
      <alignment horizontal="right"/>
    </xf>
    <xf numFmtId="9" fontId="1" fillId="11" borderId="20" xfId="0" applyNumberFormat="1" applyFont="1" applyFill="1" applyBorder="1"/>
    <xf numFmtId="166" fontId="1" fillId="2" borderId="20" xfId="0" applyNumberFormat="1" applyFont="1" applyFill="1" applyBorder="1" applyAlignment="1">
      <alignment horizontal="right"/>
    </xf>
    <xf numFmtId="0" fontId="18" fillId="8" borderId="44" xfId="0" applyFont="1" applyFill="1" applyBorder="1"/>
    <xf numFmtId="168" fontId="16" fillId="7" borderId="12" xfId="0" applyNumberFormat="1" applyFont="1" applyFill="1" applyBorder="1"/>
    <xf numFmtId="0" fontId="17" fillId="7" borderId="13" xfId="0" applyFont="1" applyFill="1" applyBorder="1"/>
    <xf numFmtId="0" fontId="17" fillId="7" borderId="14" xfId="0" applyFont="1" applyFill="1" applyBorder="1" applyAlignment="1">
      <alignment horizontal="center"/>
    </xf>
    <xf numFmtId="9" fontId="1" fillId="0" borderId="0" xfId="0" applyNumberFormat="1" applyFont="1"/>
    <xf numFmtId="9" fontId="1" fillId="0" borderId="6" xfId="0" applyNumberFormat="1" applyFont="1" applyBorder="1"/>
    <xf numFmtId="166" fontId="13" fillId="4" borderId="6" xfId="0" applyNumberFormat="1" applyFont="1" applyFill="1" applyBorder="1"/>
    <xf numFmtId="9" fontId="1" fillId="0" borderId="47" xfId="0" applyNumberFormat="1" applyFont="1" applyBorder="1"/>
    <xf numFmtId="0" fontId="1" fillId="0" borderId="48" xfId="0" applyFont="1" applyBorder="1"/>
    <xf numFmtId="9" fontId="5" fillId="0" borderId="2" xfId="0" applyNumberFormat="1" applyFont="1" applyBorder="1"/>
    <xf numFmtId="10" fontId="16" fillId="4" borderId="32" xfId="0" applyNumberFormat="1" applyFont="1" applyFill="1" applyBorder="1"/>
    <xf numFmtId="166" fontId="14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0" borderId="26" xfId="0" applyFont="1" applyBorder="1"/>
    <xf numFmtId="0" fontId="18" fillId="8" borderId="49" xfId="0" applyFont="1" applyFill="1" applyBorder="1"/>
    <xf numFmtId="3" fontId="11" fillId="2" borderId="9" xfId="0" applyNumberFormat="1" applyFont="1" applyFill="1" applyBorder="1" applyAlignment="1">
      <alignment horizontal="right"/>
    </xf>
    <xf numFmtId="0" fontId="1" fillId="0" borderId="50" xfId="0" applyFont="1" applyBorder="1"/>
    <xf numFmtId="0" fontId="14" fillId="8" borderId="6" xfId="0" applyFont="1" applyFill="1" applyBorder="1"/>
    <xf numFmtId="0" fontId="1" fillId="0" borderId="0" xfId="0" applyFont="1"/>
    <xf numFmtId="164" fontId="1" fillId="0" borderId="51" xfId="0" applyNumberFormat="1" applyFont="1" applyBorder="1"/>
    <xf numFmtId="3" fontId="12" fillId="4" borderId="52" xfId="0" applyNumberFormat="1" applyFont="1" applyFill="1" applyBorder="1" applyAlignment="1">
      <alignment horizontal="right"/>
    </xf>
    <xf numFmtId="3" fontId="11" fillId="2" borderId="52" xfId="0" applyNumberFormat="1" applyFont="1" applyFill="1" applyBorder="1" applyAlignment="1">
      <alignment horizontal="right"/>
    </xf>
    <xf numFmtId="0" fontId="5" fillId="0" borderId="28" xfId="0" applyFont="1" applyBorder="1"/>
    <xf numFmtId="0" fontId="5" fillId="0" borderId="53" xfId="0" applyFont="1" applyBorder="1"/>
    <xf numFmtId="3" fontId="12" fillId="4" borderId="12" xfId="0" applyNumberFormat="1" applyFont="1" applyFill="1" applyBorder="1" applyAlignment="1">
      <alignment horizontal="right"/>
    </xf>
    <xf numFmtId="0" fontId="18" fillId="8" borderId="8" xfId="0" applyFont="1" applyFill="1" applyBorder="1"/>
    <xf numFmtId="3" fontId="11" fillId="2" borderId="20" xfId="0" applyNumberFormat="1" applyFont="1" applyFill="1" applyBorder="1" applyAlignment="1">
      <alignment horizontal="right"/>
    </xf>
    <xf numFmtId="0" fontId="5" fillId="0" borderId="26" xfId="0" applyFont="1" applyBorder="1"/>
    <xf numFmtId="0" fontId="1" fillId="0" borderId="54" xfId="0" applyFont="1" applyBorder="1"/>
    <xf numFmtId="164" fontId="1" fillId="0" borderId="27" xfId="0" applyNumberFormat="1" applyFont="1" applyBorder="1"/>
    <xf numFmtId="0" fontId="1" fillId="0" borderId="55" xfId="0" applyFont="1" applyBorder="1" applyAlignment="1">
      <alignment horizontal="right"/>
    </xf>
    <xf numFmtId="0" fontId="1" fillId="0" borderId="50" xfId="0" applyFont="1" applyBorder="1" applyAlignment="1">
      <alignment horizontal="right"/>
    </xf>
    <xf numFmtId="0" fontId="18" fillId="8" borderId="6" xfId="0" applyFont="1" applyFill="1" applyBorder="1"/>
    <xf numFmtId="0" fontId="1" fillId="0" borderId="28" xfId="0" applyFont="1" applyBorder="1"/>
    <xf numFmtId="0" fontId="18" fillId="8" borderId="11" xfId="0" applyFont="1" applyFill="1" applyBorder="1"/>
    <xf numFmtId="0" fontId="1" fillId="4" borderId="1" xfId="0" applyFont="1" applyFill="1" applyBorder="1"/>
    <xf numFmtId="0" fontId="5" fillId="4" borderId="1" xfId="0" applyFont="1" applyFill="1" applyBorder="1"/>
    <xf numFmtId="3" fontId="11" fillId="2" borderId="1" xfId="0" applyNumberFormat="1" applyFont="1" applyFill="1" applyBorder="1" applyAlignment="1">
      <alignment horizontal="left"/>
    </xf>
    <xf numFmtId="3" fontId="11" fillId="2" borderId="1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7" fillId="3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12" fillId="7" borderId="35" xfId="0" applyFont="1" applyFill="1" applyBorder="1" applyAlignment="1">
      <alignment horizontal="left"/>
    </xf>
    <xf numFmtId="0" fontId="3" fillId="0" borderId="36" xfId="0" applyFont="1" applyBorder="1"/>
    <xf numFmtId="0" fontId="9" fillId="0" borderId="2" xfId="0" applyFont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3" fillId="0" borderId="46" xfId="0" applyFont="1" applyBorder="1"/>
    <xf numFmtId="0" fontId="22" fillId="0" borderId="0" xfId="0" applyFont="1"/>
    <xf numFmtId="0" fontId="23" fillId="12" borderId="56" xfId="0" applyFont="1" applyFill="1" applyBorder="1"/>
    <xf numFmtId="0" fontId="21" fillId="13" borderId="56" xfId="0" applyFont="1" applyFill="1" applyBorder="1"/>
    <xf numFmtId="0" fontId="0" fillId="0" borderId="56" xfId="0" applyBorder="1"/>
    <xf numFmtId="0" fontId="0" fillId="14" borderId="56" xfId="0" applyFill="1" applyBorder="1"/>
    <xf numFmtId="1" fontId="0" fillId="15" borderId="56" xfId="0" applyNumberFormat="1" applyFill="1" applyBorder="1"/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baseColWidth="10" defaultColWidth="12.5703125" defaultRowHeight="15" customHeight="1" x14ac:dyDescent="0.2"/>
  <cols>
    <col min="1" max="1" width="2.140625" customWidth="1"/>
    <col min="2" max="2" width="20.42578125" customWidth="1"/>
    <col min="3" max="3" width="1.5703125" customWidth="1"/>
    <col min="4" max="4" width="14.140625" customWidth="1"/>
    <col min="5" max="5" width="1.85546875" customWidth="1"/>
    <col min="6" max="6" width="13.42578125" customWidth="1"/>
    <col min="7" max="7" width="1.85546875" customWidth="1"/>
    <col min="8" max="8" width="13" customWidth="1"/>
    <col min="9" max="9" width="2.140625" customWidth="1"/>
    <col min="10" max="10" width="13.5703125" customWidth="1"/>
    <col min="11" max="11" width="2.42578125" customWidth="1"/>
    <col min="12" max="12" width="13.42578125" customWidth="1"/>
    <col min="13" max="13" width="2.42578125" customWidth="1"/>
    <col min="14" max="14" width="14.5703125" customWidth="1"/>
    <col min="15" max="15" width="2.42578125" customWidth="1"/>
    <col min="16" max="26" width="9.140625" customWidth="1"/>
  </cols>
  <sheetData>
    <row r="1" spans="1:15" ht="9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9.5" customHeight="1" x14ac:dyDescent="0.3">
      <c r="A2" s="1"/>
      <c r="C2" s="170" t="s">
        <v>0</v>
      </c>
      <c r="D2" s="171"/>
      <c r="E2" s="171"/>
      <c r="F2" s="171"/>
      <c r="G2" s="171"/>
      <c r="H2" s="171"/>
      <c r="I2" s="171"/>
      <c r="J2" s="171"/>
      <c r="K2" s="171"/>
      <c r="L2" s="172"/>
      <c r="M2" s="2"/>
      <c r="O2" s="1"/>
    </row>
    <row r="3" spans="1:15" ht="7.5" customHeight="1" x14ac:dyDescent="0.2">
      <c r="A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O3" s="1"/>
    </row>
    <row r="4" spans="1:15" ht="12.75" customHeight="1" x14ac:dyDescent="0.2">
      <c r="A4" s="1"/>
      <c r="C4" s="1"/>
      <c r="D4" s="3" t="s">
        <v>1</v>
      </c>
      <c r="E4" s="1"/>
      <c r="F4" s="3" t="s">
        <v>2</v>
      </c>
      <c r="G4" s="1"/>
      <c r="H4" s="3" t="s">
        <v>3</v>
      </c>
      <c r="I4" s="1"/>
      <c r="J4" s="3" t="s">
        <v>4</v>
      </c>
      <c r="K4" s="1"/>
      <c r="L4" s="3" t="s">
        <v>5</v>
      </c>
      <c r="M4" s="1"/>
      <c r="N4" s="3" t="s">
        <v>6</v>
      </c>
      <c r="O4" s="1"/>
    </row>
    <row r="5" spans="1:15" ht="7.5" customHeight="1" x14ac:dyDescent="0.2">
      <c r="A5" s="1"/>
      <c r="C5" s="1"/>
      <c r="D5" s="4"/>
      <c r="E5" s="1"/>
      <c r="F5" s="4"/>
      <c r="G5" s="1"/>
      <c r="H5" s="4"/>
      <c r="I5" s="1"/>
      <c r="J5" s="4"/>
      <c r="K5" s="1"/>
      <c r="L5" s="4"/>
      <c r="M5" s="1"/>
      <c r="O5" s="1"/>
    </row>
    <row r="6" spans="1:15" ht="12.75" customHeight="1" x14ac:dyDescent="0.2">
      <c r="A6" s="1"/>
      <c r="B6" s="5" t="s">
        <v>7</v>
      </c>
      <c r="C6" s="1"/>
      <c r="D6" s="6">
        <v>7500000</v>
      </c>
      <c r="E6" s="1"/>
      <c r="F6" s="6"/>
      <c r="G6" s="1"/>
      <c r="H6" s="6"/>
      <c r="I6" s="1"/>
      <c r="J6" s="6"/>
      <c r="K6" s="1"/>
      <c r="L6" s="6"/>
      <c r="M6" s="1"/>
      <c r="N6" s="7">
        <f t="shared" ref="N6:N7" si="0">D6+F6+J6+H6+L6</f>
        <v>7500000</v>
      </c>
      <c r="O6" s="1"/>
    </row>
    <row r="7" spans="1:15" ht="12.75" customHeight="1" x14ac:dyDescent="0.2">
      <c r="A7" s="1"/>
      <c r="B7" s="5" t="s">
        <v>8</v>
      </c>
      <c r="C7" s="1"/>
      <c r="D7" s="8">
        <v>6000000</v>
      </c>
      <c r="E7" s="1"/>
      <c r="F7" s="8"/>
      <c r="G7" s="1"/>
      <c r="H7" s="8"/>
      <c r="I7" s="1"/>
      <c r="J7" s="8"/>
      <c r="K7" s="1"/>
      <c r="L7" s="8"/>
      <c r="M7" s="1"/>
      <c r="N7" s="9">
        <f t="shared" si="0"/>
        <v>6000000</v>
      </c>
      <c r="O7" s="1"/>
    </row>
    <row r="8" spans="1:15" ht="12.75" customHeight="1" x14ac:dyDescent="0.2">
      <c r="A8" s="1"/>
      <c r="B8" s="5" t="s">
        <v>9</v>
      </c>
      <c r="C8" s="1"/>
      <c r="D8" s="10">
        <v>5.68</v>
      </c>
      <c r="E8" s="1"/>
      <c r="F8" s="10"/>
      <c r="G8" s="1"/>
      <c r="H8" s="10"/>
      <c r="I8" s="1"/>
      <c r="J8" s="10"/>
      <c r="K8" s="1"/>
      <c r="L8" s="10"/>
      <c r="M8" s="1"/>
      <c r="N8" s="11"/>
      <c r="O8" s="1"/>
    </row>
    <row r="9" spans="1:15" ht="12.75" customHeight="1" x14ac:dyDescent="0.2">
      <c r="A9" s="1"/>
      <c r="B9" s="5" t="s">
        <v>10</v>
      </c>
      <c r="C9" s="1"/>
      <c r="D9" s="12">
        <f>D7/D6</f>
        <v>0.8</v>
      </c>
      <c r="E9" s="1"/>
      <c r="F9" s="12"/>
      <c r="G9" s="1"/>
      <c r="H9" s="12"/>
      <c r="I9" s="1"/>
      <c r="J9" s="12"/>
      <c r="K9" s="1"/>
      <c r="L9" s="12"/>
      <c r="M9" s="1"/>
      <c r="N9" s="13"/>
      <c r="O9" s="1"/>
    </row>
    <row r="10" spans="1:15" ht="12.75" customHeight="1" x14ac:dyDescent="0.2">
      <c r="A10" s="1"/>
      <c r="B10" s="5" t="s">
        <v>11</v>
      </c>
      <c r="C10" s="1"/>
      <c r="D10" s="7">
        <f>D6-D7</f>
        <v>1500000</v>
      </c>
      <c r="E10" s="14"/>
      <c r="F10" s="7"/>
      <c r="G10" s="14"/>
      <c r="H10" s="7"/>
      <c r="I10" s="14"/>
      <c r="J10" s="7"/>
      <c r="K10" s="14"/>
      <c r="L10" s="7"/>
      <c r="M10" s="14"/>
      <c r="N10" s="7">
        <f>D10+F10+J10+H10+L10</f>
        <v>1500000</v>
      </c>
      <c r="O10" s="1"/>
    </row>
    <row r="11" spans="1:15" ht="12.75" customHeight="1" x14ac:dyDescent="0.2">
      <c r="A11" s="1"/>
      <c r="B11" s="5" t="s">
        <v>12</v>
      </c>
      <c r="C11" s="1"/>
      <c r="D11" s="15"/>
      <c r="E11" s="1"/>
      <c r="F11" s="15"/>
      <c r="G11" s="1"/>
      <c r="H11" s="15"/>
      <c r="I11" s="1"/>
      <c r="J11" s="15"/>
      <c r="K11" s="1"/>
      <c r="L11" s="15"/>
      <c r="M11" s="1"/>
      <c r="N11" s="12">
        <f>N7/N6</f>
        <v>0.8</v>
      </c>
      <c r="O11" s="1"/>
    </row>
    <row r="12" spans="1:15" ht="6.75" customHeight="1" x14ac:dyDescent="0.2">
      <c r="A12" s="1"/>
      <c r="B12" s="1"/>
      <c r="C12" s="1"/>
      <c r="D12" s="14"/>
      <c r="E12" s="1"/>
      <c r="F12" s="14"/>
      <c r="G12" s="1"/>
      <c r="H12" s="14"/>
      <c r="I12" s="1"/>
      <c r="J12" s="14"/>
      <c r="K12" s="1"/>
      <c r="L12" s="14"/>
      <c r="M12" s="1"/>
      <c r="N12" s="14"/>
      <c r="O12" s="1"/>
    </row>
    <row r="13" spans="1:15" ht="12.75" customHeight="1" x14ac:dyDescent="0.2">
      <c r="A13" s="1"/>
      <c r="B13" s="16" t="s">
        <v>13</v>
      </c>
      <c r="C13" s="1"/>
      <c r="E13" s="1"/>
      <c r="G13" s="1"/>
      <c r="I13" s="1"/>
      <c r="K13" s="1"/>
      <c r="M13" s="1"/>
      <c r="O13" s="1"/>
    </row>
    <row r="14" spans="1:15" ht="12.75" customHeight="1" x14ac:dyDescent="0.2">
      <c r="A14" s="1"/>
      <c r="B14" s="5" t="s">
        <v>14</v>
      </c>
      <c r="C14" s="1"/>
      <c r="D14" s="9">
        <f>(D7*D8)/100</f>
        <v>340800</v>
      </c>
      <c r="E14" s="1"/>
      <c r="F14" s="9"/>
      <c r="G14" s="1"/>
      <c r="H14" s="9"/>
      <c r="I14" s="1"/>
      <c r="J14" s="9"/>
      <c r="K14" s="1"/>
      <c r="L14" s="9"/>
      <c r="M14" s="1"/>
      <c r="N14" s="9">
        <f t="shared" ref="N14:N19" si="1">SUM(D14:L14)</f>
        <v>340800</v>
      </c>
      <c r="O14" s="1"/>
    </row>
    <row r="15" spans="1:15" ht="12.75" customHeight="1" x14ac:dyDescent="0.2">
      <c r="A15" s="1"/>
      <c r="B15" s="5" t="s">
        <v>15</v>
      </c>
      <c r="C15" s="1"/>
      <c r="D15" s="8">
        <v>3008</v>
      </c>
      <c r="E15" s="1"/>
      <c r="F15" s="8"/>
      <c r="G15" s="1"/>
      <c r="H15" s="8"/>
      <c r="I15" s="1"/>
      <c r="J15" s="8"/>
      <c r="K15" s="1"/>
      <c r="L15" s="8"/>
      <c r="M15" s="1"/>
      <c r="N15" s="9">
        <f t="shared" si="1"/>
        <v>3008</v>
      </c>
      <c r="O15" s="1"/>
    </row>
    <row r="16" spans="1:15" ht="12.75" customHeight="1" x14ac:dyDescent="0.2">
      <c r="A16" s="1"/>
      <c r="B16" s="5" t="s">
        <v>16</v>
      </c>
      <c r="C16" s="1"/>
      <c r="D16" s="8">
        <v>17840</v>
      </c>
      <c r="E16" s="1"/>
      <c r="F16" s="8"/>
      <c r="G16" s="1"/>
      <c r="H16" s="8"/>
      <c r="I16" s="1"/>
      <c r="J16" s="8"/>
      <c r="K16" s="1"/>
      <c r="L16" s="8"/>
      <c r="M16" s="1"/>
      <c r="N16" s="9">
        <f t="shared" si="1"/>
        <v>17840</v>
      </c>
      <c r="O16" s="1"/>
    </row>
    <row r="17" spans="1:15" ht="12.75" customHeight="1" x14ac:dyDescent="0.2">
      <c r="A17" s="1"/>
      <c r="B17" s="5" t="s">
        <v>17</v>
      </c>
      <c r="C17" s="1"/>
      <c r="D17" s="8">
        <v>2180</v>
      </c>
      <c r="E17" s="1"/>
      <c r="F17" s="8"/>
      <c r="G17" s="1"/>
      <c r="H17" s="8"/>
      <c r="I17" s="1"/>
      <c r="J17" s="8"/>
      <c r="K17" s="1"/>
      <c r="L17" s="8"/>
      <c r="M17" s="1"/>
      <c r="N17" s="9">
        <f t="shared" si="1"/>
        <v>2180</v>
      </c>
      <c r="O17" s="1"/>
    </row>
    <row r="18" spans="1:15" ht="12.75" customHeight="1" x14ac:dyDescent="0.2">
      <c r="A18" s="1"/>
      <c r="B18" s="5" t="s">
        <v>18</v>
      </c>
      <c r="C18" s="1"/>
      <c r="D18" s="8">
        <v>575</v>
      </c>
      <c r="E18" s="1"/>
      <c r="F18" s="8"/>
      <c r="G18" s="1"/>
      <c r="H18" s="8"/>
      <c r="I18" s="1"/>
      <c r="J18" s="8"/>
      <c r="K18" s="1"/>
      <c r="L18" s="8"/>
      <c r="M18" s="1"/>
      <c r="N18" s="9">
        <f t="shared" si="1"/>
        <v>575</v>
      </c>
      <c r="O18" s="1"/>
    </row>
    <row r="19" spans="1:15" ht="12.75" customHeight="1" x14ac:dyDescent="0.2">
      <c r="A19" s="1"/>
      <c r="B19" s="5" t="s">
        <v>19</v>
      </c>
      <c r="C19" s="1"/>
      <c r="D19" s="8">
        <v>35544</v>
      </c>
      <c r="E19" s="1"/>
      <c r="F19" s="8"/>
      <c r="G19" s="1"/>
      <c r="H19" s="8"/>
      <c r="I19" s="1"/>
      <c r="J19" s="8"/>
      <c r="K19" s="1"/>
      <c r="L19" s="8"/>
      <c r="M19" s="1"/>
      <c r="N19" s="9">
        <f t="shared" si="1"/>
        <v>35544</v>
      </c>
      <c r="O19" s="1"/>
    </row>
    <row r="20" spans="1:15" ht="12.75" customHeight="1" x14ac:dyDescent="0.2">
      <c r="A20" s="1"/>
      <c r="C20" s="1"/>
      <c r="D20" s="17"/>
      <c r="E20" s="1"/>
      <c r="F20" s="17"/>
      <c r="G20" s="1"/>
      <c r="H20" s="17"/>
      <c r="I20" s="1"/>
      <c r="J20" s="17"/>
      <c r="K20" s="1"/>
      <c r="L20" s="17"/>
      <c r="M20" s="14"/>
      <c r="N20" s="17"/>
      <c r="O20" s="1"/>
    </row>
    <row r="21" spans="1:15" ht="12.75" customHeight="1" x14ac:dyDescent="0.2">
      <c r="A21" s="1"/>
      <c r="B21" s="5" t="s">
        <v>20</v>
      </c>
      <c r="C21" s="1"/>
      <c r="D21" s="7">
        <f>SUM(D14:D19)</f>
        <v>399947</v>
      </c>
      <c r="E21" s="1"/>
      <c r="F21" s="7"/>
      <c r="G21" s="1"/>
      <c r="H21" s="7"/>
      <c r="I21" s="1"/>
      <c r="J21" s="7"/>
      <c r="K21" s="1"/>
      <c r="L21" s="7"/>
      <c r="M21" s="1"/>
      <c r="N21" s="7">
        <f>SUM(N14:N19)</f>
        <v>399947</v>
      </c>
      <c r="O21" s="1"/>
    </row>
    <row r="22" spans="1:15" ht="6.75" customHeight="1" x14ac:dyDescent="0.2">
      <c r="A22" s="1"/>
      <c r="B22" s="1"/>
      <c r="C22" s="1"/>
      <c r="D22" s="18"/>
      <c r="E22" s="1"/>
      <c r="F22" s="18"/>
      <c r="G22" s="1"/>
      <c r="H22" s="18"/>
      <c r="I22" s="1"/>
      <c r="J22" s="18"/>
      <c r="K22" s="1"/>
      <c r="L22" s="18"/>
      <c r="M22" s="1"/>
      <c r="N22" s="18"/>
      <c r="O22" s="1"/>
    </row>
    <row r="23" spans="1:15" ht="12.75" customHeight="1" x14ac:dyDescent="0.2">
      <c r="A23" s="1"/>
      <c r="B23" s="16" t="s">
        <v>21</v>
      </c>
      <c r="C23" s="1"/>
      <c r="D23" s="19"/>
      <c r="E23" s="1"/>
      <c r="F23" s="19"/>
      <c r="G23" s="1"/>
      <c r="H23" s="19"/>
      <c r="I23" s="1"/>
      <c r="J23" s="19"/>
      <c r="K23" s="1"/>
      <c r="L23" s="19"/>
      <c r="M23" s="1"/>
      <c r="N23" s="19"/>
      <c r="O23" s="1"/>
    </row>
    <row r="24" spans="1:15" ht="12.75" customHeight="1" x14ac:dyDescent="0.2">
      <c r="A24" s="1"/>
      <c r="B24" s="5" t="s">
        <v>22</v>
      </c>
      <c r="C24" s="1"/>
      <c r="D24" s="8">
        <v>0</v>
      </c>
      <c r="E24" s="1"/>
      <c r="F24" s="8"/>
      <c r="G24" s="1"/>
      <c r="H24" s="8"/>
      <c r="I24" s="1"/>
      <c r="J24" s="8"/>
      <c r="K24" s="1"/>
      <c r="L24" s="8"/>
      <c r="M24" s="1"/>
      <c r="N24" s="9">
        <f t="shared" ref="N24:N25" si="2">SUM(D24:L24)</f>
        <v>0</v>
      </c>
      <c r="O24" s="1"/>
    </row>
    <row r="25" spans="1:15" ht="12.75" customHeight="1" x14ac:dyDescent="0.2">
      <c r="A25" s="1"/>
      <c r="B25" s="5" t="s">
        <v>23</v>
      </c>
      <c r="C25" s="1"/>
      <c r="D25" s="8">
        <v>0</v>
      </c>
      <c r="E25" s="1"/>
      <c r="F25" s="8"/>
      <c r="G25" s="1"/>
      <c r="H25" s="8"/>
      <c r="I25" s="1"/>
      <c r="J25" s="8"/>
      <c r="K25" s="1"/>
      <c r="L25" s="8"/>
      <c r="M25" s="1"/>
      <c r="N25" s="9">
        <f t="shared" si="2"/>
        <v>0</v>
      </c>
      <c r="O25" s="1"/>
    </row>
    <row r="26" spans="1:15" ht="12.75" customHeight="1" x14ac:dyDescent="0.2">
      <c r="A26" s="1"/>
      <c r="C26" s="1"/>
      <c r="D26" s="17"/>
      <c r="E26" s="1"/>
      <c r="F26" s="17"/>
      <c r="G26" s="1"/>
      <c r="H26" s="17"/>
      <c r="I26" s="1"/>
      <c r="J26" s="17"/>
      <c r="K26" s="1"/>
      <c r="L26" s="17"/>
      <c r="M26" s="1"/>
      <c r="N26" s="17"/>
      <c r="O26" s="1"/>
    </row>
    <row r="27" spans="1:15" ht="12.75" customHeight="1" x14ac:dyDescent="0.2">
      <c r="A27" s="1"/>
      <c r="B27" s="5" t="s">
        <v>24</v>
      </c>
      <c r="C27" s="1"/>
      <c r="D27" s="7">
        <f>SUM(D24:D25)</f>
        <v>0</v>
      </c>
      <c r="E27" s="1"/>
      <c r="F27" s="7"/>
      <c r="G27" s="1"/>
      <c r="H27" s="7"/>
      <c r="I27" s="1"/>
      <c r="J27" s="7"/>
      <c r="K27" s="1"/>
      <c r="L27" s="7"/>
      <c r="M27" s="1"/>
      <c r="N27" s="7">
        <f>SUM(N24:N25)</f>
        <v>0</v>
      </c>
      <c r="O27" s="1"/>
    </row>
    <row r="28" spans="1:15" ht="9.75" customHeight="1" x14ac:dyDescent="0.2">
      <c r="A28" s="1"/>
      <c r="B28" s="14"/>
      <c r="C28" s="14"/>
      <c r="D28" s="20"/>
      <c r="E28" s="14"/>
      <c r="F28" s="20"/>
      <c r="G28" s="14"/>
      <c r="H28" s="20"/>
      <c r="I28" s="14"/>
      <c r="J28" s="20"/>
      <c r="K28" s="14"/>
      <c r="L28" s="20"/>
      <c r="M28" s="1"/>
      <c r="N28" s="20"/>
      <c r="O28" s="1"/>
    </row>
    <row r="29" spans="1:15" ht="12.75" customHeight="1" x14ac:dyDescent="0.2">
      <c r="A29" s="1"/>
      <c r="B29" s="16" t="s">
        <v>25</v>
      </c>
      <c r="C29" s="1"/>
      <c r="D29" s="7">
        <f>D27-D21</f>
        <v>-399947</v>
      </c>
      <c r="E29" s="14"/>
      <c r="F29" s="7"/>
      <c r="G29" s="14"/>
      <c r="H29" s="7"/>
      <c r="I29" s="14"/>
      <c r="J29" s="7"/>
      <c r="K29" s="14"/>
      <c r="L29" s="7"/>
      <c r="M29" s="1"/>
      <c r="N29" s="7">
        <f>N27-N21</f>
        <v>-399947</v>
      </c>
      <c r="O29" s="1"/>
    </row>
    <row r="30" spans="1:15" ht="12.75" customHeight="1" x14ac:dyDescent="0.2">
      <c r="A30" s="1"/>
      <c r="B30" s="5" t="s">
        <v>26</v>
      </c>
      <c r="C30" s="14"/>
      <c r="D30" s="9"/>
      <c r="E30" s="1"/>
      <c r="F30" s="9"/>
      <c r="G30" s="1"/>
      <c r="H30" s="9"/>
      <c r="I30" s="1"/>
      <c r="J30" s="9"/>
      <c r="K30" s="18"/>
      <c r="L30" s="9"/>
      <c r="M30" s="14"/>
      <c r="N30" s="9">
        <f>(N27-(N15+N16))*0.22</f>
        <v>-4586.5600000000004</v>
      </c>
      <c r="O30" s="1"/>
    </row>
    <row r="31" spans="1:15" ht="12.75" customHeight="1" x14ac:dyDescent="0.2">
      <c r="A31" s="1"/>
      <c r="B31" s="4" t="s">
        <v>27</v>
      </c>
      <c r="C31" s="14"/>
      <c r="D31" s="7">
        <f>D29-D30</f>
        <v>-399947</v>
      </c>
      <c r="E31" s="14"/>
      <c r="F31" s="7"/>
      <c r="G31" s="14"/>
      <c r="H31" s="7"/>
      <c r="I31" s="14"/>
      <c r="J31" s="7"/>
      <c r="K31" s="14"/>
      <c r="L31" s="7"/>
      <c r="M31" s="1"/>
      <c r="N31" s="7">
        <f>N29-N30</f>
        <v>-395360.44</v>
      </c>
      <c r="O31" s="1"/>
    </row>
    <row r="32" spans="1:15" ht="12.75" customHeight="1" x14ac:dyDescent="0.2">
      <c r="A32" s="1"/>
      <c r="B32" s="5" t="s">
        <v>28</v>
      </c>
      <c r="C32" s="18"/>
      <c r="D32" s="9">
        <f>D14*0.22</f>
        <v>74976</v>
      </c>
      <c r="E32" s="18"/>
      <c r="F32" s="9"/>
      <c r="G32" s="18"/>
      <c r="H32" s="9"/>
      <c r="I32" s="18"/>
      <c r="J32" s="9"/>
      <c r="K32" s="18"/>
      <c r="L32" s="9"/>
      <c r="M32" s="1"/>
      <c r="N32" s="9">
        <f>N14*0.22</f>
        <v>74976</v>
      </c>
      <c r="O32" s="1"/>
    </row>
    <row r="33" spans="1:15" ht="12.75" customHeight="1" x14ac:dyDescent="0.2">
      <c r="A33" s="1"/>
      <c r="B33" s="5" t="s">
        <v>29</v>
      </c>
      <c r="C33" s="18"/>
      <c r="D33" s="7">
        <f>D31+D32</f>
        <v>-324971</v>
      </c>
      <c r="E33" s="20"/>
      <c r="F33" s="7"/>
      <c r="G33" s="20"/>
      <c r="H33" s="7"/>
      <c r="I33" s="20"/>
      <c r="J33" s="7"/>
      <c r="K33" s="20"/>
      <c r="L33" s="7"/>
      <c r="M33" s="1"/>
      <c r="N33" s="7">
        <f>N31+N32</f>
        <v>-320384.44</v>
      </c>
      <c r="O33" s="1"/>
    </row>
    <row r="34" spans="1:15" ht="12.75" customHeight="1" x14ac:dyDescent="0.2">
      <c r="A34" s="1"/>
      <c r="B34" s="5" t="s">
        <v>30</v>
      </c>
      <c r="C34" s="21"/>
      <c r="D34" s="9">
        <f>D33/12</f>
        <v>-27080.916666666668</v>
      </c>
      <c r="E34" s="21"/>
      <c r="F34" s="9"/>
      <c r="G34" s="21"/>
      <c r="H34" s="9"/>
      <c r="I34" s="21"/>
      <c r="J34" s="9"/>
      <c r="K34" s="21"/>
      <c r="L34" s="9"/>
      <c r="M34" s="1"/>
      <c r="N34" s="9">
        <f>N33/12</f>
        <v>-26698.703333333335</v>
      </c>
      <c r="O34" s="1"/>
    </row>
    <row r="35" spans="1:15" ht="6.75" customHeight="1" x14ac:dyDescent="0.2">
      <c r="A35" s="1"/>
      <c r="C35" s="1"/>
      <c r="D35" s="17"/>
      <c r="E35" s="1"/>
      <c r="F35" s="17"/>
      <c r="G35" s="1"/>
      <c r="H35" s="17"/>
      <c r="I35" s="1"/>
      <c r="J35" s="17"/>
      <c r="K35" s="1"/>
      <c r="L35" s="17"/>
      <c r="M35" s="1"/>
      <c r="N35" s="17"/>
      <c r="O35" s="1"/>
    </row>
    <row r="36" spans="1:15" ht="12.75" customHeight="1" x14ac:dyDescent="0.2">
      <c r="A36" s="1"/>
      <c r="B36" s="1"/>
      <c r="C36" s="1"/>
      <c r="D36" s="18"/>
      <c r="E36" s="1"/>
      <c r="F36" s="22"/>
      <c r="G36" s="1"/>
      <c r="H36" s="22"/>
      <c r="I36" s="1"/>
      <c r="J36" s="18"/>
      <c r="K36" s="1"/>
      <c r="L36" s="18"/>
      <c r="M36" s="1"/>
      <c r="N36" s="18"/>
      <c r="O36" s="1"/>
    </row>
    <row r="37" spans="1:15" ht="12.75" customHeight="1" x14ac:dyDescent="0.2">
      <c r="D37" s="19"/>
      <c r="F37" s="19"/>
      <c r="H37" s="19"/>
      <c r="J37" s="19"/>
      <c r="L37" s="19"/>
    </row>
    <row r="38" spans="1:15" ht="12.75" customHeight="1" x14ac:dyDescent="0.2">
      <c r="B38" s="5" t="s">
        <v>31</v>
      </c>
      <c r="D38" s="23">
        <v>44550</v>
      </c>
      <c r="F38" s="23"/>
      <c r="H38" s="23">
        <v>44489</v>
      </c>
      <c r="J38" s="23">
        <v>44489</v>
      </c>
      <c r="L38" s="23"/>
    </row>
    <row r="39" spans="1:15" ht="12.75" customHeight="1" x14ac:dyDescent="0.2">
      <c r="B39" s="5" t="s">
        <v>32</v>
      </c>
      <c r="D39" s="19"/>
      <c r="F39" s="19"/>
      <c r="H39" s="19"/>
      <c r="J39" s="19"/>
      <c r="L39" s="19"/>
    </row>
    <row r="40" spans="1:15" ht="12.75" customHeight="1" x14ac:dyDescent="0.2">
      <c r="D40" s="19"/>
      <c r="F40" s="19"/>
      <c r="H40" s="19"/>
      <c r="J40" s="19"/>
      <c r="L40" s="19"/>
    </row>
    <row r="41" spans="1:15" ht="12.75" customHeight="1" x14ac:dyDescent="0.2">
      <c r="D41" s="19"/>
      <c r="F41" s="19"/>
      <c r="H41" s="19"/>
      <c r="J41" s="19"/>
      <c r="L41" s="19"/>
    </row>
    <row r="42" spans="1:15" ht="12.75" customHeight="1" x14ac:dyDescent="0.2">
      <c r="B42" s="5" t="s">
        <v>33</v>
      </c>
      <c r="D42" s="19"/>
      <c r="F42" s="19"/>
      <c r="H42" s="19"/>
      <c r="J42" s="19"/>
      <c r="L42" s="19"/>
    </row>
    <row r="43" spans="1:15" ht="12.75" customHeight="1" x14ac:dyDescent="0.2">
      <c r="B43" s="5" t="s">
        <v>34</v>
      </c>
    </row>
    <row r="44" spans="1:15" ht="12.75" customHeight="1" x14ac:dyDescent="0.2">
      <c r="B44" s="5" t="s">
        <v>35</v>
      </c>
    </row>
    <row r="45" spans="1:15" ht="12.75" customHeight="1" x14ac:dyDescent="0.2"/>
    <row r="46" spans="1:15" ht="12.75" customHeight="1" x14ac:dyDescent="0.2"/>
    <row r="47" spans="1:15" ht="12.75" customHeight="1" x14ac:dyDescent="0.2"/>
    <row r="48" spans="1:1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C2:L2"/>
  </mergeCells>
  <pageMargins left="0.74791666666666667" right="0.74791666666666667" top="0.98402777777777772" bottom="0.98402777777777772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703125" defaultRowHeight="15" customHeight="1" x14ac:dyDescent="0.2"/>
  <cols>
    <col min="1" max="1" width="2.140625" customWidth="1"/>
    <col min="2" max="2" width="23.42578125" customWidth="1"/>
    <col min="3" max="3" width="11" customWidth="1"/>
    <col min="4" max="4" width="10.42578125" customWidth="1"/>
    <col min="5" max="5" width="16.140625" customWidth="1"/>
    <col min="6" max="6" width="11.85546875" customWidth="1"/>
    <col min="7" max="7" width="11.5703125" customWidth="1"/>
    <col min="8" max="8" width="14.42578125" customWidth="1"/>
    <col min="9" max="9" width="12.42578125" customWidth="1"/>
    <col min="10" max="10" width="3.5703125" customWidth="1"/>
    <col min="11" max="11" width="2" customWidth="1"/>
    <col min="12" max="26" width="9.140625" customWidth="1"/>
  </cols>
  <sheetData>
    <row r="1" spans="1:26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6" ht="25.5" x14ac:dyDescent="0.35">
      <c r="A2" s="1"/>
      <c r="B2" s="173" t="s">
        <v>36</v>
      </c>
      <c r="C2" s="171"/>
      <c r="D2" s="171"/>
      <c r="E2" s="171"/>
      <c r="F2" s="171"/>
      <c r="G2" s="171"/>
      <c r="H2" s="171"/>
      <c r="I2" s="171"/>
      <c r="J2" s="172"/>
      <c r="K2" s="1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2.75" x14ac:dyDescent="0.2">
      <c r="A3" s="1"/>
      <c r="K3" s="1"/>
    </row>
    <row r="4" spans="1:26" ht="18" x14ac:dyDescent="0.25">
      <c r="A4" s="1"/>
      <c r="B4" s="174" t="s">
        <v>1</v>
      </c>
      <c r="C4" s="175"/>
      <c r="D4" s="26">
        <v>4010</v>
      </c>
      <c r="E4" s="26" t="s">
        <v>37</v>
      </c>
      <c r="F4" s="25"/>
      <c r="G4" s="26"/>
      <c r="H4" s="26"/>
      <c r="I4" s="26"/>
      <c r="J4" s="26"/>
      <c r="K4" s="1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2.75" customHeight="1" x14ac:dyDescent="0.2">
      <c r="A5" s="1"/>
      <c r="K5" s="1"/>
    </row>
    <row r="6" spans="1:26" ht="15.75" customHeight="1" x14ac:dyDescent="0.25">
      <c r="A6" s="1"/>
      <c r="C6" s="27" t="s">
        <v>38</v>
      </c>
      <c r="D6" s="28" t="s">
        <v>39</v>
      </c>
      <c r="E6" s="29" t="s">
        <v>40</v>
      </c>
      <c r="F6" s="30" t="s">
        <v>41</v>
      </c>
      <c r="K6" s="1"/>
    </row>
    <row r="7" spans="1:26" ht="12.75" customHeight="1" x14ac:dyDescent="0.25">
      <c r="A7" s="1"/>
      <c r="C7" s="31">
        <v>7500000</v>
      </c>
      <c r="D7" s="32">
        <f>C13</f>
        <v>5766442.5</v>
      </c>
      <c r="E7" s="33">
        <f>D7/C7</f>
        <v>0.76885899999999996</v>
      </c>
      <c r="F7" s="34">
        <v>0</v>
      </c>
      <c r="K7" s="1"/>
    </row>
    <row r="8" spans="1:26" ht="12.75" customHeight="1" x14ac:dyDescent="0.2">
      <c r="A8" s="1"/>
      <c r="C8" s="23"/>
      <c r="E8" s="4"/>
      <c r="K8" s="1"/>
    </row>
    <row r="9" spans="1:26" ht="9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26" ht="12.75" customHeight="1" x14ac:dyDescent="0.25">
      <c r="A10" s="1"/>
      <c r="B10" s="35" t="s">
        <v>42</v>
      </c>
      <c r="C10" s="36"/>
      <c r="E10" s="37" t="s">
        <v>43</v>
      </c>
      <c r="F10" s="38"/>
      <c r="H10" s="39" t="s">
        <v>44</v>
      </c>
      <c r="I10" s="40"/>
      <c r="K10" s="1"/>
    </row>
    <row r="11" spans="1:26" ht="12.75" customHeight="1" x14ac:dyDescent="0.25">
      <c r="A11" s="1"/>
      <c r="B11" s="41" t="s">
        <v>45</v>
      </c>
      <c r="C11" s="42">
        <v>7688590</v>
      </c>
      <c r="E11" s="41" t="s">
        <v>22</v>
      </c>
      <c r="F11" s="43">
        <f t="shared" ref="F11:F13" si="0">C16</f>
        <v>60000</v>
      </c>
      <c r="H11" s="44" t="s">
        <v>46</v>
      </c>
      <c r="I11" s="45">
        <f>C16*12</f>
        <v>720000</v>
      </c>
      <c r="K11" s="1"/>
    </row>
    <row r="12" spans="1:26" ht="12.75" customHeight="1" x14ac:dyDescent="0.25">
      <c r="A12" s="1"/>
      <c r="B12" s="46" t="s">
        <v>9</v>
      </c>
      <c r="C12" s="47">
        <v>6.5</v>
      </c>
      <c r="E12" s="46" t="s">
        <v>47</v>
      </c>
      <c r="F12" s="43">
        <f t="shared" si="0"/>
        <v>0</v>
      </c>
      <c r="H12" s="48" t="s">
        <v>48</v>
      </c>
      <c r="I12" s="49">
        <f>(C17*12)+(C18*12)+(C19*12)+(C20*12)+(C21*12)</f>
        <v>101172</v>
      </c>
      <c r="K12" s="1"/>
    </row>
    <row r="13" spans="1:26" x14ac:dyDescent="0.25">
      <c r="A13" s="1"/>
      <c r="B13" s="46" t="s">
        <v>8</v>
      </c>
      <c r="C13" s="50">
        <f>C11*C15</f>
        <v>5766442.5</v>
      </c>
      <c r="E13" s="46" t="s">
        <v>49</v>
      </c>
      <c r="F13" s="51">
        <f t="shared" si="0"/>
        <v>2231</v>
      </c>
      <c r="H13" s="52" t="s">
        <v>50</v>
      </c>
      <c r="I13" s="43">
        <f>I11-I12</f>
        <v>618828</v>
      </c>
      <c r="K13" s="1"/>
    </row>
    <row r="14" spans="1:26" ht="12.75" customHeight="1" x14ac:dyDescent="0.25">
      <c r="A14" s="1"/>
      <c r="B14" s="46" t="s">
        <v>51</v>
      </c>
      <c r="C14" s="50">
        <f>C11-C13</f>
        <v>1922147.5</v>
      </c>
      <c r="E14" s="46" t="s">
        <v>52</v>
      </c>
      <c r="F14" s="51">
        <f t="shared" ref="F14:F15" si="1">C20</f>
        <v>2000</v>
      </c>
      <c r="H14" s="53" t="s">
        <v>53</v>
      </c>
      <c r="I14" s="54">
        <f>C11</f>
        <v>7688590</v>
      </c>
      <c r="K14" s="1"/>
    </row>
    <row r="15" spans="1:26" ht="12.75" customHeight="1" x14ac:dyDescent="0.25">
      <c r="A15" s="1"/>
      <c r="B15" s="46" t="s">
        <v>54</v>
      </c>
      <c r="C15" s="55">
        <v>0.75</v>
      </c>
      <c r="E15" s="46" t="s">
        <v>55</v>
      </c>
      <c r="F15" s="51">
        <f t="shared" si="1"/>
        <v>3000</v>
      </c>
      <c r="H15" s="56" t="s">
        <v>56</v>
      </c>
      <c r="I15" s="57">
        <f>I13/C11</f>
        <v>8.0486539144368471E-2</v>
      </c>
      <c r="K15" s="1"/>
    </row>
    <row r="16" spans="1:26" ht="12.75" customHeight="1" x14ac:dyDescent="0.25">
      <c r="A16" s="1"/>
      <c r="B16" s="41" t="s">
        <v>57</v>
      </c>
      <c r="C16" s="58">
        <v>60000</v>
      </c>
      <c r="E16" s="46" t="s">
        <v>58</v>
      </c>
      <c r="F16" s="51">
        <f>C23</f>
        <v>11345.18</v>
      </c>
      <c r="K16" s="1"/>
    </row>
    <row r="17" spans="1:13" x14ac:dyDescent="0.25">
      <c r="A17" s="1"/>
      <c r="B17" s="46" t="s">
        <v>59</v>
      </c>
      <c r="C17" s="58">
        <v>0</v>
      </c>
      <c r="E17" s="46" t="s">
        <v>60</v>
      </c>
      <c r="F17" s="51">
        <f>C19</f>
        <v>1200</v>
      </c>
      <c r="K17" s="1"/>
    </row>
    <row r="18" spans="1:13" ht="12.75" customHeight="1" x14ac:dyDescent="0.25">
      <c r="A18" s="1"/>
      <c r="B18" s="46" t="s">
        <v>61</v>
      </c>
      <c r="C18" s="58">
        <v>2231</v>
      </c>
      <c r="E18" s="46"/>
      <c r="F18" s="51"/>
      <c r="K18" s="1"/>
      <c r="M18" s="59"/>
    </row>
    <row r="19" spans="1:13" ht="12.75" customHeight="1" x14ac:dyDescent="0.25">
      <c r="A19" s="1"/>
      <c r="B19" s="46" t="s">
        <v>60</v>
      </c>
      <c r="C19" s="58">
        <v>1200</v>
      </c>
      <c r="E19" s="46" t="s">
        <v>62</v>
      </c>
      <c r="F19" s="51">
        <f>('Lån - Kalkyle 2021'!M4+'Lån - Kalkyle 2021'!N4)/12</f>
        <v>38985.432714993854</v>
      </c>
      <c r="K19" s="1"/>
    </row>
    <row r="20" spans="1:13" ht="12.75" customHeight="1" x14ac:dyDescent="0.25">
      <c r="A20" s="1"/>
      <c r="B20" s="46" t="s">
        <v>52</v>
      </c>
      <c r="C20" s="58">
        <v>2000</v>
      </c>
      <c r="E20" s="60" t="s">
        <v>43</v>
      </c>
      <c r="F20" s="61">
        <f>F11-F12-F13-F14-F15-F16-F17-F19</f>
        <v>1238.3872850061452</v>
      </c>
      <c r="K20" s="1"/>
      <c r="M20" s="59"/>
    </row>
    <row r="21" spans="1:13" ht="12.75" customHeight="1" x14ac:dyDescent="0.25">
      <c r="A21" s="1"/>
      <c r="B21" s="41" t="s">
        <v>63</v>
      </c>
      <c r="C21" s="58">
        <v>3000</v>
      </c>
      <c r="E21" s="62"/>
      <c r="F21" s="62"/>
      <c r="K21" s="1"/>
      <c r="M21" s="59"/>
    </row>
    <row r="22" spans="1:13" ht="12.75" customHeight="1" x14ac:dyDescent="0.25">
      <c r="A22" s="1"/>
      <c r="B22" s="46" t="s">
        <v>64</v>
      </c>
      <c r="C22" s="49">
        <f>C16-C17-C18-C19-C20-C21</f>
        <v>51569</v>
      </c>
      <c r="E22" s="63"/>
      <c r="F22" s="64"/>
      <c r="K22" s="1"/>
      <c r="M22" s="59"/>
    </row>
    <row r="23" spans="1:13" ht="12.75" customHeight="1" x14ac:dyDescent="0.25">
      <c r="A23" s="1"/>
      <c r="B23" s="46" t="s">
        <v>65</v>
      </c>
      <c r="C23" s="43">
        <f>C22*0.22</f>
        <v>11345.18</v>
      </c>
      <c r="E23" s="65"/>
      <c r="F23" s="66"/>
      <c r="K23" s="1"/>
    </row>
    <row r="24" spans="1:13" ht="12.75" customHeight="1" x14ac:dyDescent="0.25">
      <c r="A24" s="1"/>
      <c r="B24" s="46" t="s">
        <v>66</v>
      </c>
      <c r="C24" s="51">
        <f>C22-C23</f>
        <v>40223.82</v>
      </c>
      <c r="K24" s="1"/>
      <c r="M24" s="59"/>
    </row>
    <row r="25" spans="1:13" ht="12.75" customHeight="1" x14ac:dyDescent="0.25">
      <c r="A25" s="1"/>
      <c r="B25" s="46" t="s">
        <v>67</v>
      </c>
      <c r="C25" s="51">
        <f>'Lån - Kalkyle 2021'!M4/12</f>
        <v>31051.291997819189</v>
      </c>
      <c r="E25" s="67"/>
      <c r="F25" s="68"/>
      <c r="G25" s="68"/>
      <c r="H25" s="69"/>
      <c r="K25" s="1"/>
    </row>
    <row r="26" spans="1:13" ht="12.75" customHeight="1" x14ac:dyDescent="0.25">
      <c r="A26" s="1"/>
      <c r="B26" s="46" t="s">
        <v>68</v>
      </c>
      <c r="C26" s="51">
        <f>C25*22%</f>
        <v>6831.2842395202215</v>
      </c>
      <c r="K26" s="1"/>
    </row>
    <row r="27" spans="1:13" ht="12.75" customHeight="1" x14ac:dyDescent="0.25">
      <c r="A27" s="1"/>
      <c r="B27" s="70" t="s">
        <v>69</v>
      </c>
      <c r="C27" s="71">
        <f>C24-C25+C26</f>
        <v>16003.812241701031</v>
      </c>
      <c r="K27" s="1"/>
    </row>
    <row r="28" spans="1:13" ht="12.75" customHeight="1" x14ac:dyDescent="0.25">
      <c r="A28" s="1"/>
      <c r="B28" s="72" t="s">
        <v>70</v>
      </c>
      <c r="C28" s="51">
        <f>C27*12</f>
        <v>192045.74690041237</v>
      </c>
      <c r="K28" s="1"/>
    </row>
    <row r="29" spans="1:13" ht="12.75" customHeight="1" x14ac:dyDescent="0.25">
      <c r="A29" s="1"/>
      <c r="B29" s="73" t="s">
        <v>71</v>
      </c>
      <c r="C29" s="57">
        <f>C28/C14</f>
        <v>9.9912075894494246E-2</v>
      </c>
      <c r="K29" s="1"/>
    </row>
    <row r="30" spans="1:13" ht="7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3" ht="12.75" customHeight="1" x14ac:dyDescent="0.2"/>
    <row r="32" spans="1:13" ht="12.75" customHeight="1" x14ac:dyDescent="0.2"/>
    <row r="33" spans="2:9" ht="12.75" customHeight="1" x14ac:dyDescent="0.2"/>
    <row r="34" spans="2:9" ht="12.75" customHeight="1" x14ac:dyDescent="0.2"/>
    <row r="35" spans="2:9" ht="12.75" customHeight="1" x14ac:dyDescent="0.2"/>
    <row r="36" spans="2:9" ht="12.75" customHeight="1" x14ac:dyDescent="0.2"/>
    <row r="37" spans="2:9" ht="12.75" customHeight="1" x14ac:dyDescent="0.2">
      <c r="B37" s="5" t="s">
        <v>72</v>
      </c>
    </row>
    <row r="38" spans="2:9" ht="12.75" customHeight="1" x14ac:dyDescent="0.2"/>
    <row r="39" spans="2:9" ht="12.75" customHeight="1" x14ac:dyDescent="0.2"/>
    <row r="40" spans="2:9" ht="12.75" customHeight="1" x14ac:dyDescent="0.2"/>
    <row r="41" spans="2:9" ht="12.75" customHeight="1" x14ac:dyDescent="0.2"/>
    <row r="42" spans="2:9" ht="12.75" customHeight="1" x14ac:dyDescent="0.2"/>
    <row r="43" spans="2:9" ht="12.75" customHeight="1" x14ac:dyDescent="0.2"/>
    <row r="44" spans="2:9" ht="12.75" customHeight="1" x14ac:dyDescent="0.2"/>
    <row r="45" spans="2:9" ht="12.75" customHeight="1" x14ac:dyDescent="0.2"/>
    <row r="46" spans="2:9" ht="12.75" customHeight="1" x14ac:dyDescent="0.2"/>
    <row r="47" spans="2:9" ht="12.75" customHeight="1" x14ac:dyDescent="0.25">
      <c r="C47" s="62"/>
      <c r="G47" s="4"/>
      <c r="H47" s="4"/>
      <c r="I47" s="4"/>
    </row>
    <row r="48" spans="2:9" ht="12.75" customHeight="1" x14ac:dyDescent="0.2">
      <c r="G48" s="15"/>
      <c r="H48" s="15"/>
      <c r="I48" s="15"/>
    </row>
    <row r="49" spans="6:9" ht="12.75" customHeight="1" x14ac:dyDescent="0.2">
      <c r="G49" s="15"/>
      <c r="H49" s="15"/>
      <c r="I49" s="15"/>
    </row>
    <row r="50" spans="6:9" ht="12.75" customHeight="1" x14ac:dyDescent="0.2">
      <c r="G50" s="4"/>
      <c r="H50" s="4"/>
      <c r="I50" s="4"/>
    </row>
    <row r="51" spans="6:9" ht="12.75" customHeight="1" x14ac:dyDescent="0.2">
      <c r="F51" s="4"/>
      <c r="G51" s="4"/>
      <c r="H51" s="4"/>
    </row>
    <row r="52" spans="6:9" ht="12.75" customHeight="1" x14ac:dyDescent="0.2">
      <c r="G52" s="15"/>
      <c r="H52" s="15"/>
      <c r="I52" s="19"/>
    </row>
    <row r="53" spans="6:9" ht="12.75" customHeight="1" x14ac:dyDescent="0.2">
      <c r="G53" s="15"/>
      <c r="H53" s="15"/>
      <c r="I53" s="19"/>
    </row>
    <row r="54" spans="6:9" ht="12.75" customHeight="1" x14ac:dyDescent="0.2">
      <c r="G54" s="4"/>
      <c r="H54" s="4"/>
      <c r="I54" s="19"/>
    </row>
    <row r="55" spans="6:9" ht="12.75" customHeight="1" x14ac:dyDescent="0.2">
      <c r="G55" s="15"/>
      <c r="H55" s="15"/>
      <c r="I55" s="19"/>
    </row>
    <row r="56" spans="6:9" ht="12.75" customHeight="1" x14ac:dyDescent="0.2">
      <c r="G56" s="15"/>
      <c r="H56" s="15"/>
      <c r="I56" s="19"/>
    </row>
    <row r="57" spans="6:9" ht="12.75" customHeight="1" x14ac:dyDescent="0.2">
      <c r="G57" s="74"/>
      <c r="H57" s="59"/>
      <c r="I57" s="19"/>
    </row>
    <row r="58" spans="6:9" ht="12.75" customHeight="1" x14ac:dyDescent="0.2">
      <c r="G58" s="75"/>
      <c r="H58" s="4"/>
      <c r="I58" s="75"/>
    </row>
    <row r="59" spans="6:9" ht="12.75" customHeight="1" x14ac:dyDescent="0.2">
      <c r="G59" s="19"/>
      <c r="H59" s="15"/>
      <c r="I59" s="19"/>
    </row>
    <row r="60" spans="6:9" ht="12.75" customHeight="1" x14ac:dyDescent="0.2">
      <c r="F60" s="4"/>
      <c r="G60" s="19"/>
      <c r="H60" s="15"/>
      <c r="I60" s="19"/>
    </row>
    <row r="61" spans="6:9" ht="12.75" customHeight="1" x14ac:dyDescent="0.2">
      <c r="G61" s="19"/>
      <c r="H61" s="4"/>
      <c r="I61" s="19"/>
    </row>
    <row r="62" spans="6:9" ht="12.75" customHeight="1" x14ac:dyDescent="0.2">
      <c r="G62" s="19"/>
      <c r="H62" s="15"/>
      <c r="I62" s="19"/>
    </row>
    <row r="63" spans="6:9" ht="12.75" customHeight="1" x14ac:dyDescent="0.2">
      <c r="G63" s="19"/>
      <c r="H63" s="4"/>
      <c r="I63" s="19"/>
    </row>
    <row r="64" spans="6:9" ht="12.75" customHeight="1" x14ac:dyDescent="0.2">
      <c r="G64" s="75"/>
      <c r="H64" s="15"/>
      <c r="I64" s="75"/>
    </row>
    <row r="65" spans="6:9" ht="12.75" customHeight="1" x14ac:dyDescent="0.2">
      <c r="F65" s="4"/>
      <c r="G65" s="75"/>
      <c r="H65" s="4"/>
      <c r="I65" s="75"/>
    </row>
    <row r="66" spans="6:9" ht="12.75" customHeight="1" x14ac:dyDescent="0.2">
      <c r="F66" s="4"/>
      <c r="G66" s="19"/>
      <c r="I66" s="19"/>
    </row>
    <row r="67" spans="6:9" ht="12.75" customHeight="1" x14ac:dyDescent="0.2">
      <c r="G67" s="75"/>
      <c r="H67" s="4"/>
      <c r="I67" s="75"/>
    </row>
    <row r="68" spans="6:9" ht="12.75" customHeight="1" x14ac:dyDescent="0.2">
      <c r="F68" s="4"/>
      <c r="G68" s="75"/>
      <c r="H68" s="4"/>
      <c r="I68" s="75"/>
    </row>
    <row r="69" spans="6:9" ht="12.75" customHeight="1" x14ac:dyDescent="0.2">
      <c r="G69" s="19"/>
      <c r="I69" s="19"/>
    </row>
    <row r="70" spans="6:9" ht="12.75" customHeight="1" x14ac:dyDescent="0.2">
      <c r="F70" s="4"/>
      <c r="G70" s="75"/>
      <c r="H70" s="4"/>
      <c r="I70" s="75"/>
    </row>
    <row r="71" spans="6:9" ht="12.75" customHeight="1" x14ac:dyDescent="0.2">
      <c r="G71" s="19"/>
      <c r="H71" s="19"/>
      <c r="I71" s="19"/>
    </row>
    <row r="72" spans="6:9" ht="12.75" customHeight="1" x14ac:dyDescent="0.2">
      <c r="G72" s="19"/>
      <c r="I72" s="19"/>
    </row>
    <row r="73" spans="6:9" ht="12.75" customHeight="1" x14ac:dyDescent="0.2">
      <c r="G73" s="75"/>
      <c r="H73" s="4"/>
    </row>
    <row r="74" spans="6:9" ht="12.75" customHeight="1" x14ac:dyDescent="0.2">
      <c r="G74" s="19"/>
      <c r="I74" s="19"/>
    </row>
    <row r="75" spans="6:9" ht="12.75" customHeight="1" x14ac:dyDescent="0.2">
      <c r="G75" s="75"/>
      <c r="H75" s="4"/>
    </row>
    <row r="76" spans="6:9" ht="12.75" customHeight="1" x14ac:dyDescent="0.2">
      <c r="G76" s="19"/>
    </row>
    <row r="77" spans="6:9" ht="12.75" customHeight="1" x14ac:dyDescent="0.2"/>
    <row r="78" spans="6:9" ht="12.75" customHeight="1" x14ac:dyDescent="0.2"/>
    <row r="79" spans="6:9" ht="12.75" customHeight="1" x14ac:dyDescent="0.2"/>
    <row r="80" spans="6:9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B2:J2"/>
    <mergeCell ref="B4:C4"/>
  </mergeCells>
  <pageMargins left="0.74791666666666667" right="0.74791666666666667" top="0.98402777777777772" bottom="0.98402777777777772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baseColWidth="10" defaultColWidth="12.5703125" defaultRowHeight="15" customHeight="1" x14ac:dyDescent="0.2"/>
  <cols>
    <col min="1" max="1" width="2.5703125" customWidth="1"/>
    <col min="2" max="2" width="28.5703125" customWidth="1"/>
    <col min="3" max="3" width="13" customWidth="1"/>
    <col min="4" max="4" width="16.5703125" customWidth="1"/>
    <col min="5" max="5" width="2.85546875" customWidth="1"/>
    <col min="6" max="6" width="10.85546875" customWidth="1"/>
    <col min="7" max="7" width="12.42578125" customWidth="1"/>
    <col min="8" max="8" width="11.42578125" customWidth="1"/>
    <col min="9" max="10" width="10.85546875" customWidth="1"/>
    <col min="11" max="11" width="14.85546875" customWidth="1"/>
    <col min="12" max="14" width="10.85546875" customWidth="1"/>
    <col min="15" max="26" width="10.5703125" customWidth="1"/>
  </cols>
  <sheetData>
    <row r="1" spans="1:26" ht="36" customHeight="1" x14ac:dyDescent="0.25">
      <c r="A1" s="62"/>
      <c r="B1" s="62"/>
      <c r="C1" s="76"/>
      <c r="D1" s="77"/>
      <c r="E1" s="62"/>
      <c r="F1" s="62"/>
      <c r="G1" s="76"/>
      <c r="H1" s="76"/>
      <c r="I1" s="76"/>
      <c r="J1" s="76"/>
      <c r="K1" s="76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x14ac:dyDescent="0.25">
      <c r="A2" s="62"/>
      <c r="B2" s="176" t="s">
        <v>73</v>
      </c>
      <c r="C2" s="177"/>
      <c r="D2" s="77"/>
      <c r="E2" s="62"/>
      <c r="F2" s="78" t="s">
        <v>74</v>
      </c>
      <c r="G2" s="78" t="s">
        <v>75</v>
      </c>
      <c r="H2" s="78" t="s">
        <v>76</v>
      </c>
      <c r="I2" s="78" t="s">
        <v>77</v>
      </c>
      <c r="J2" s="78" t="s">
        <v>78</v>
      </c>
      <c r="K2" s="78" t="s">
        <v>79</v>
      </c>
      <c r="L2" s="79" t="s">
        <v>80</v>
      </c>
      <c r="M2" s="79" t="s">
        <v>81</v>
      </c>
      <c r="N2" s="79" t="s">
        <v>82</v>
      </c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x14ac:dyDescent="0.25">
      <c r="A3" s="62"/>
      <c r="B3" s="78" t="s">
        <v>8</v>
      </c>
      <c r="C3" s="80">
        <f>'Kalkyle - 2021'!C13</f>
        <v>5766442.5</v>
      </c>
      <c r="D3" s="77"/>
      <c r="E3" s="62"/>
      <c r="F3" s="78">
        <v>0</v>
      </c>
      <c r="G3" s="78"/>
      <c r="H3" s="78"/>
      <c r="I3" s="78"/>
      <c r="J3" s="81">
        <f>C14</f>
        <v>5766442.5</v>
      </c>
      <c r="K3" s="81"/>
      <c r="L3" s="81"/>
      <c r="M3" s="81"/>
      <c r="N3" s="81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26" x14ac:dyDescent="0.25">
      <c r="A4" s="62"/>
      <c r="B4" s="78" t="s">
        <v>83</v>
      </c>
      <c r="C4" s="82">
        <f>'Kalkyle - 2021'!C12</f>
        <v>6.5</v>
      </c>
      <c r="D4" s="77"/>
      <c r="E4" s="62"/>
      <c r="F4" s="83">
        <f t="shared" ref="F4:F258" si="0">IF(F3&lt;&gt;"",IF(J3&gt;1,F3+1,""),"")</f>
        <v>1</v>
      </c>
      <c r="G4" s="84">
        <f t="shared" ref="G4:G258" si="1">IF(F4&lt;&gt;"",IF(J3&gt;$C$15,$C$15,J3+H4),"")</f>
        <v>38985.432714993862</v>
      </c>
      <c r="H4" s="84">
        <f t="shared" ref="H4:H258" si="2">IF(F4&lt;&gt;"",J3*$C$4%/$C$7+$C$8,"")</f>
        <v>31284.896875000002</v>
      </c>
      <c r="I4" s="84">
        <f t="shared" ref="I4:I258" si="3">IF(F4&lt;&gt;"",IF(F4&gt;$C$6*$C$7,G4-H4,0),"")</f>
        <v>7700.5358399938596</v>
      </c>
      <c r="J4" s="84">
        <f t="shared" ref="J4:J258" si="4">IF(F4&lt;&gt;"",J3-I4-K4,"")</f>
        <v>5758741.9641600065</v>
      </c>
      <c r="K4" s="85"/>
      <c r="L4" s="86" t="s">
        <v>84</v>
      </c>
      <c r="M4" s="87">
        <f t="shared" ref="M4:N4" si="5">SUM(H4:H15)</f>
        <v>372615.50397383026</v>
      </c>
      <c r="N4" s="87">
        <f t="shared" si="5"/>
        <v>95209.688606096024</v>
      </c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26" x14ac:dyDescent="0.25">
      <c r="A5" s="76"/>
      <c r="B5" s="78" t="s">
        <v>85</v>
      </c>
      <c r="C5" s="88">
        <v>25</v>
      </c>
      <c r="D5" s="77"/>
      <c r="E5" s="62"/>
      <c r="F5" s="83">
        <f t="shared" si="0"/>
        <v>2</v>
      </c>
      <c r="G5" s="84">
        <f t="shared" si="1"/>
        <v>38985.432714993862</v>
      </c>
      <c r="H5" s="84">
        <f t="shared" si="2"/>
        <v>31243.185639200037</v>
      </c>
      <c r="I5" s="84">
        <f t="shared" si="3"/>
        <v>7742.2470757938245</v>
      </c>
      <c r="J5" s="84">
        <f t="shared" si="4"/>
        <v>5750999.7170842122</v>
      </c>
      <c r="K5" s="85"/>
      <c r="L5" s="86" t="s">
        <v>86</v>
      </c>
      <c r="M5" s="87">
        <f t="shared" ref="M5:N5" si="6">SUM(H16:H27)</f>
        <v>366239.13479929458</v>
      </c>
      <c r="N5" s="87">
        <f t="shared" si="6"/>
        <v>101586.05778063177</v>
      </c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x14ac:dyDescent="0.25">
      <c r="A6" s="62"/>
      <c r="B6" s="78" t="s">
        <v>41</v>
      </c>
      <c r="C6" s="80">
        <f>'Kalkyle - 2021'!F7</f>
        <v>0</v>
      </c>
      <c r="D6" s="77"/>
      <c r="E6" s="62"/>
      <c r="F6" s="83">
        <f t="shared" si="0"/>
        <v>3</v>
      </c>
      <c r="G6" s="84">
        <f t="shared" si="1"/>
        <v>38985.432714993862</v>
      </c>
      <c r="H6" s="84">
        <f t="shared" si="2"/>
        <v>31201.248467539484</v>
      </c>
      <c r="I6" s="84">
        <f t="shared" si="3"/>
        <v>7784.1842474543773</v>
      </c>
      <c r="J6" s="84">
        <f t="shared" si="4"/>
        <v>5743215.5328367576</v>
      </c>
      <c r="K6" s="85"/>
      <c r="L6" s="86" t="s">
        <v>87</v>
      </c>
      <c r="M6" s="87">
        <f t="shared" ref="M6:N6" si="7">SUM(H28:H39)</f>
        <v>359435.72837208817</v>
      </c>
      <c r="N6" s="87">
        <f t="shared" si="7"/>
        <v>108389.46420783811</v>
      </c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x14ac:dyDescent="0.25">
      <c r="A7" s="62"/>
      <c r="B7" s="78" t="s">
        <v>88</v>
      </c>
      <c r="C7" s="80">
        <v>12</v>
      </c>
      <c r="D7" s="77"/>
      <c r="E7" s="62"/>
      <c r="F7" s="83">
        <f t="shared" si="0"/>
        <v>4</v>
      </c>
      <c r="G7" s="84">
        <f t="shared" si="1"/>
        <v>38985.432714993862</v>
      </c>
      <c r="H7" s="84">
        <f t="shared" si="2"/>
        <v>31159.084136199104</v>
      </c>
      <c r="I7" s="84">
        <f t="shared" si="3"/>
        <v>7826.3485787947575</v>
      </c>
      <c r="J7" s="84">
        <f t="shared" si="4"/>
        <v>5735389.1842579627</v>
      </c>
      <c r="K7" s="85"/>
      <c r="L7" s="86" t="s">
        <v>89</v>
      </c>
      <c r="M7" s="87">
        <f t="shared" ref="M7:N7" si="8">SUM(H40:H51)</f>
        <v>352176.6852165258</v>
      </c>
      <c r="N7" s="87">
        <f t="shared" si="8"/>
        <v>115648.50736340052</v>
      </c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x14ac:dyDescent="0.25">
      <c r="A8" s="62"/>
      <c r="B8" s="78" t="s">
        <v>90</v>
      </c>
      <c r="C8" s="88">
        <v>50</v>
      </c>
      <c r="D8" s="77"/>
      <c r="E8" s="62"/>
      <c r="F8" s="83">
        <f t="shared" si="0"/>
        <v>5</v>
      </c>
      <c r="G8" s="84">
        <f t="shared" si="1"/>
        <v>38985.432714993862</v>
      </c>
      <c r="H8" s="84">
        <f t="shared" si="2"/>
        <v>31116.691414730634</v>
      </c>
      <c r="I8" s="84">
        <f t="shared" si="3"/>
        <v>7868.7413002632275</v>
      </c>
      <c r="J8" s="84">
        <f t="shared" si="4"/>
        <v>5727520.4429576993</v>
      </c>
      <c r="K8" s="85"/>
      <c r="L8" s="86" t="s">
        <v>91</v>
      </c>
      <c r="M8" s="87">
        <f t="shared" ref="M8:N8" si="9">SUM(H52:H63)</f>
        <v>344431.49049706903</v>
      </c>
      <c r="N8" s="87">
        <f t="shared" si="9"/>
        <v>123393.70208285733</v>
      </c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x14ac:dyDescent="0.25">
      <c r="A9" s="62"/>
      <c r="B9" s="78" t="s">
        <v>92</v>
      </c>
      <c r="C9" s="80"/>
      <c r="D9" s="77"/>
      <c r="E9" s="62"/>
      <c r="F9" s="83">
        <f t="shared" si="0"/>
        <v>6</v>
      </c>
      <c r="G9" s="84">
        <f t="shared" si="1"/>
        <v>38985.432714993862</v>
      </c>
      <c r="H9" s="84">
        <f t="shared" si="2"/>
        <v>31074.069066020875</v>
      </c>
      <c r="I9" s="84">
        <f t="shared" si="3"/>
        <v>7911.363648972987</v>
      </c>
      <c r="J9" s="84">
        <f t="shared" si="4"/>
        <v>5719609.0793087259</v>
      </c>
      <c r="K9" s="85"/>
      <c r="L9" s="86" t="s">
        <v>93</v>
      </c>
      <c r="M9" s="87">
        <f t="shared" ref="M9:N9" si="10">SUM(H64:H75)</f>
        <v>336167.58574313001</v>
      </c>
      <c r="N9" s="87">
        <f t="shared" si="10"/>
        <v>131657.60683679639</v>
      </c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x14ac:dyDescent="0.25">
      <c r="A10" s="62"/>
      <c r="B10" s="78" t="s">
        <v>94</v>
      </c>
      <c r="C10" s="80">
        <v>950</v>
      </c>
      <c r="D10" s="77"/>
      <c r="E10" s="62"/>
      <c r="F10" s="83">
        <f t="shared" si="0"/>
        <v>7</v>
      </c>
      <c r="G10" s="84">
        <f t="shared" si="1"/>
        <v>38985.432714993862</v>
      </c>
      <c r="H10" s="84">
        <f t="shared" si="2"/>
        <v>31031.2158462556</v>
      </c>
      <c r="I10" s="84">
        <f t="shared" si="3"/>
        <v>7954.2168687382618</v>
      </c>
      <c r="J10" s="84">
        <f t="shared" si="4"/>
        <v>5711654.8624399872</v>
      </c>
      <c r="K10" s="85"/>
      <c r="L10" s="86" t="s">
        <v>95</v>
      </c>
      <c r="M10" s="87">
        <f t="shared" ref="M10:N10" si="11">SUM(H76:H87)</f>
        <v>327350.2319830468</v>
      </c>
      <c r="N10" s="87">
        <f t="shared" si="11"/>
        <v>140474.96059687951</v>
      </c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x14ac:dyDescent="0.25">
      <c r="A11" s="62"/>
      <c r="B11" s="89" t="s">
        <v>96</v>
      </c>
      <c r="C11" s="90" t="s">
        <v>97</v>
      </c>
      <c r="D11" s="77"/>
      <c r="E11" s="62"/>
      <c r="F11" s="83">
        <f t="shared" si="0"/>
        <v>8</v>
      </c>
      <c r="G11" s="84">
        <f t="shared" si="1"/>
        <v>38985.432714993862</v>
      </c>
      <c r="H11" s="84">
        <f t="shared" si="2"/>
        <v>30988.130504883262</v>
      </c>
      <c r="I11" s="84">
        <f t="shared" si="3"/>
        <v>7997.3022101105998</v>
      </c>
      <c r="J11" s="84">
        <f t="shared" si="4"/>
        <v>5703657.560229877</v>
      </c>
      <c r="K11" s="85"/>
      <c r="L11" s="86" t="s">
        <v>98</v>
      </c>
      <c r="M11" s="87">
        <f t="shared" ref="M11:N11" si="12">SUM(H88:H99)</f>
        <v>317942.36371188937</v>
      </c>
      <c r="N11" s="87">
        <f t="shared" si="12"/>
        <v>149882.82886803697</v>
      </c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x14ac:dyDescent="0.25">
      <c r="A12" s="62"/>
      <c r="B12" s="62"/>
      <c r="C12" s="76"/>
      <c r="D12" s="77"/>
      <c r="E12" s="76"/>
      <c r="F12" s="83">
        <f t="shared" si="0"/>
        <v>9</v>
      </c>
      <c r="G12" s="84">
        <f t="shared" si="1"/>
        <v>38985.432714993862</v>
      </c>
      <c r="H12" s="84">
        <f t="shared" si="2"/>
        <v>30944.811784578502</v>
      </c>
      <c r="I12" s="84">
        <f t="shared" si="3"/>
        <v>8040.6209304153599</v>
      </c>
      <c r="J12" s="84">
        <f t="shared" si="4"/>
        <v>5695616.9392994614</v>
      </c>
      <c r="K12" s="85"/>
      <c r="L12" s="86" t="s">
        <v>99</v>
      </c>
      <c r="M12" s="87">
        <f t="shared" ref="M12:N12" si="13">SUM(H100:H111)</f>
        <v>307904.43307921657</v>
      </c>
      <c r="N12" s="87">
        <f t="shared" si="13"/>
        <v>159920.75950070977</v>
      </c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x14ac:dyDescent="0.25">
      <c r="A13" s="62"/>
      <c r="B13" s="176" t="s">
        <v>100</v>
      </c>
      <c r="C13" s="177"/>
      <c r="D13" s="91" t="s">
        <v>101</v>
      </c>
      <c r="E13" s="76"/>
      <c r="F13" s="83">
        <f t="shared" si="0"/>
        <v>10</v>
      </c>
      <c r="G13" s="84">
        <f t="shared" si="1"/>
        <v>38985.432714993862</v>
      </c>
      <c r="H13" s="84">
        <f t="shared" si="2"/>
        <v>30901.258421205417</v>
      </c>
      <c r="I13" s="84">
        <f t="shared" si="3"/>
        <v>8084.1742937884446</v>
      </c>
      <c r="J13" s="84">
        <f t="shared" si="4"/>
        <v>5687532.7650056733</v>
      </c>
      <c r="K13" s="85"/>
      <c r="L13" s="86" t="s">
        <v>102</v>
      </c>
      <c r="M13" s="87">
        <f t="shared" ref="M13:N13" si="14">SUM(H112:H123)</f>
        <v>297194.2436418006</v>
      </c>
      <c r="N13" s="87">
        <f t="shared" si="14"/>
        <v>170630.94893812577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x14ac:dyDescent="0.25">
      <c r="A14" s="62"/>
      <c r="B14" s="92" t="s">
        <v>103</v>
      </c>
      <c r="C14" s="84">
        <f>C3</f>
        <v>5766442.5</v>
      </c>
      <c r="D14" s="84"/>
      <c r="E14" s="76"/>
      <c r="F14" s="83">
        <f t="shared" si="0"/>
        <v>11</v>
      </c>
      <c r="G14" s="84">
        <f t="shared" si="1"/>
        <v>38985.432714993862</v>
      </c>
      <c r="H14" s="84">
        <f t="shared" si="2"/>
        <v>30857.469143780731</v>
      </c>
      <c r="I14" s="84">
        <f t="shared" si="3"/>
        <v>8127.9635712131312</v>
      </c>
      <c r="J14" s="84">
        <f t="shared" si="4"/>
        <v>5679404.8014344601</v>
      </c>
      <c r="K14" s="80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x14ac:dyDescent="0.25">
      <c r="A15" s="62"/>
      <c r="B15" s="78" t="s">
        <v>104</v>
      </c>
      <c r="C15" s="84">
        <f>IFERROR(PMT(C4%/C7,(C5-C6)*C7,C14)*-1+C8,"")</f>
        <v>38985.432714993862</v>
      </c>
      <c r="D15" s="84"/>
      <c r="E15" s="62"/>
      <c r="F15" s="83">
        <f t="shared" si="0"/>
        <v>12</v>
      </c>
      <c r="G15" s="84">
        <f t="shared" si="1"/>
        <v>38985.432714993862</v>
      </c>
      <c r="H15" s="84">
        <f t="shared" si="2"/>
        <v>30813.442674436661</v>
      </c>
      <c r="I15" s="84">
        <f t="shared" si="3"/>
        <v>8171.9900405572007</v>
      </c>
      <c r="J15" s="84">
        <f t="shared" si="4"/>
        <v>5671232.8113939026</v>
      </c>
      <c r="K15" s="80"/>
      <c r="L15" s="76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x14ac:dyDescent="0.25">
      <c r="A16" s="62"/>
      <c r="B16" s="78" t="s">
        <v>105</v>
      </c>
      <c r="C16" s="84">
        <f>IFERROR(C15*C7*(C5-C6)+(C15*C6*C7),"")</f>
        <v>11695629.814498158</v>
      </c>
      <c r="D16" s="84" t="str">
        <f>IF(SUM(K:K)&lt;&gt;0, SUM(H:I)-C16,"")</f>
        <v/>
      </c>
      <c r="E16" s="62"/>
      <c r="F16" s="83">
        <f t="shared" si="0"/>
        <v>13</v>
      </c>
      <c r="G16" s="84">
        <f t="shared" si="1"/>
        <v>38985.432714993862</v>
      </c>
      <c r="H16" s="84">
        <f t="shared" si="2"/>
        <v>30769.177728383642</v>
      </c>
      <c r="I16" s="84">
        <f t="shared" si="3"/>
        <v>8216.2549866102199</v>
      </c>
      <c r="J16" s="84">
        <f t="shared" si="4"/>
        <v>5663016.5564072924</v>
      </c>
      <c r="K16" s="80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x14ac:dyDescent="0.25">
      <c r="A17" s="62"/>
      <c r="B17" s="78" t="s">
        <v>76</v>
      </c>
      <c r="C17" s="84">
        <f>IFERROR(C16-C14,"")</f>
        <v>5929187.3144981582</v>
      </c>
      <c r="D17" s="84" t="str">
        <f>IF(SUM(K:K)&lt;&gt;0, SUM(H:H)-C17,"")</f>
        <v/>
      </c>
      <c r="E17" s="62"/>
      <c r="F17" s="83">
        <f t="shared" si="0"/>
        <v>14</v>
      </c>
      <c r="G17" s="84">
        <f t="shared" si="1"/>
        <v>38985.432714993862</v>
      </c>
      <c r="H17" s="84">
        <f t="shared" si="2"/>
        <v>30724.673013872834</v>
      </c>
      <c r="I17" s="84">
        <f t="shared" si="3"/>
        <v>8260.7597011210273</v>
      </c>
      <c r="J17" s="84">
        <f t="shared" si="4"/>
        <v>5654755.7967061717</v>
      </c>
      <c r="K17" s="80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x14ac:dyDescent="0.25">
      <c r="A18" s="62"/>
      <c r="B18" s="78" t="s">
        <v>106</v>
      </c>
      <c r="C18" s="84">
        <f>C9+C10</f>
        <v>950</v>
      </c>
      <c r="D18" s="84"/>
      <c r="E18" s="62"/>
      <c r="F18" s="83">
        <f t="shared" si="0"/>
        <v>15</v>
      </c>
      <c r="G18" s="84">
        <f t="shared" si="1"/>
        <v>38985.432714993862</v>
      </c>
      <c r="H18" s="84">
        <f t="shared" si="2"/>
        <v>30679.927232158432</v>
      </c>
      <c r="I18" s="84">
        <f t="shared" si="3"/>
        <v>8305.5054828354296</v>
      </c>
      <c r="J18" s="84">
        <f t="shared" si="4"/>
        <v>5646450.291223336</v>
      </c>
      <c r="K18" s="80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x14ac:dyDescent="0.25">
      <c r="A19" s="62"/>
      <c r="B19" s="78" t="s">
        <v>107</v>
      </c>
      <c r="C19" s="84">
        <f>SUM(C17:C18)</f>
        <v>5930137.3144981582</v>
      </c>
      <c r="D19" s="84" t="str">
        <f>IFERROR(D17+D18,"")</f>
        <v/>
      </c>
      <c r="E19" s="62"/>
      <c r="F19" s="83">
        <f t="shared" si="0"/>
        <v>16</v>
      </c>
      <c r="G19" s="84">
        <f t="shared" si="1"/>
        <v>38985.432714993862</v>
      </c>
      <c r="H19" s="84">
        <f t="shared" si="2"/>
        <v>30634.939077459738</v>
      </c>
      <c r="I19" s="84">
        <f t="shared" si="3"/>
        <v>8350.493637534124</v>
      </c>
      <c r="J19" s="84">
        <f t="shared" si="4"/>
        <v>5638099.7975858022</v>
      </c>
      <c r="K19" s="80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x14ac:dyDescent="0.25">
      <c r="A20" s="62"/>
      <c r="B20" s="78" t="s">
        <v>108</v>
      </c>
      <c r="C20" s="93">
        <f>IFERROR($C$19/$C$3%,"")</f>
        <v>102.83874875190654</v>
      </c>
      <c r="D20" s="93" t="str">
        <f>IFERROR($D$19/$C$3%,"")</f>
        <v/>
      </c>
      <c r="E20" s="62"/>
      <c r="F20" s="83">
        <f t="shared" si="0"/>
        <v>17</v>
      </c>
      <c r="G20" s="84">
        <f t="shared" si="1"/>
        <v>38985.432714993862</v>
      </c>
      <c r="H20" s="84">
        <f t="shared" si="2"/>
        <v>30589.707236923099</v>
      </c>
      <c r="I20" s="84">
        <f t="shared" si="3"/>
        <v>8395.7254780707626</v>
      </c>
      <c r="J20" s="84">
        <f t="shared" si="4"/>
        <v>5629704.0721077314</v>
      </c>
      <c r="K20" s="80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75" customHeight="1" x14ac:dyDescent="0.25">
      <c r="A21" s="62"/>
      <c r="B21" s="89" t="s">
        <v>109</v>
      </c>
      <c r="C21" s="84">
        <f>C8*C7*C5</f>
        <v>15000</v>
      </c>
      <c r="D21" s="94"/>
      <c r="E21" s="62"/>
      <c r="F21" s="83">
        <f t="shared" si="0"/>
        <v>18</v>
      </c>
      <c r="G21" s="84">
        <f t="shared" si="1"/>
        <v>38985.432714993862</v>
      </c>
      <c r="H21" s="84">
        <f t="shared" si="2"/>
        <v>30544.230390583547</v>
      </c>
      <c r="I21" s="84">
        <f t="shared" si="3"/>
        <v>8441.2023244103148</v>
      </c>
      <c r="J21" s="84">
        <f t="shared" si="4"/>
        <v>5621262.8697833214</v>
      </c>
      <c r="K21" s="80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75" customHeight="1" x14ac:dyDescent="0.25">
      <c r="A22" s="62"/>
      <c r="B22" s="62"/>
      <c r="C22" s="76"/>
      <c r="D22" s="95"/>
      <c r="E22" s="62"/>
      <c r="F22" s="83">
        <f t="shared" si="0"/>
        <v>19</v>
      </c>
      <c r="G22" s="84">
        <f t="shared" si="1"/>
        <v>38985.432714993862</v>
      </c>
      <c r="H22" s="84">
        <f t="shared" si="2"/>
        <v>30498.507211326327</v>
      </c>
      <c r="I22" s="84">
        <f t="shared" si="3"/>
        <v>8486.9255036675349</v>
      </c>
      <c r="J22" s="84">
        <f t="shared" si="4"/>
        <v>5612775.944279654</v>
      </c>
      <c r="K22" s="80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5.75" customHeight="1" x14ac:dyDescent="0.25">
      <c r="A23" s="62"/>
      <c r="B23" s="176" t="s">
        <v>110</v>
      </c>
      <c r="C23" s="177"/>
      <c r="D23" s="91" t="s">
        <v>111</v>
      </c>
      <c r="E23" s="62"/>
      <c r="F23" s="83">
        <f t="shared" si="0"/>
        <v>20</v>
      </c>
      <c r="G23" s="84">
        <f t="shared" si="1"/>
        <v>38985.432714993862</v>
      </c>
      <c r="H23" s="84">
        <f t="shared" si="2"/>
        <v>30452.536364848129</v>
      </c>
      <c r="I23" s="84">
        <f t="shared" si="3"/>
        <v>8532.8963501457329</v>
      </c>
      <c r="J23" s="84">
        <f t="shared" si="4"/>
        <v>5604243.0479295086</v>
      </c>
      <c r="K23" s="80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75" customHeight="1" x14ac:dyDescent="0.25">
      <c r="A24" s="96">
        <f>3-$C$6</f>
        <v>3</v>
      </c>
      <c r="B24" s="78" t="str">
        <f t="shared" ref="B24:B35" si="15">A24+$C$6&amp;" år"</f>
        <v>3 år</v>
      </c>
      <c r="C24" s="84">
        <f t="shared" ref="C24:C35" si="16">IFERROR((PMT($C$4%/$C$7,A24*$C$7,$C$14)*-1)*$C$7*A24-$C$14+($C$15*$C$6*$C$7)+$C$8*$C$5*$C$7+$C$18,"")</f>
        <v>611993.15971021913</v>
      </c>
      <c r="D24" s="97">
        <f t="shared" ref="D24:D35" si="17">IFERROR(C24/$C$3%,"")</f>
        <v>10.613010703049914</v>
      </c>
      <c r="E24" s="62"/>
      <c r="F24" s="83">
        <f t="shared" si="0"/>
        <v>21</v>
      </c>
      <c r="G24" s="84">
        <f t="shared" si="1"/>
        <v>38985.432714993862</v>
      </c>
      <c r="H24" s="84">
        <f t="shared" si="2"/>
        <v>30406.316509618173</v>
      </c>
      <c r="I24" s="84">
        <f t="shared" si="3"/>
        <v>8579.1162053756889</v>
      </c>
      <c r="J24" s="84">
        <f t="shared" si="4"/>
        <v>5595663.931724133</v>
      </c>
      <c r="K24" s="80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75" customHeight="1" x14ac:dyDescent="0.25">
      <c r="A25" s="96">
        <f>4-$C$6</f>
        <v>4</v>
      </c>
      <c r="B25" s="78" t="str">
        <f t="shared" si="15"/>
        <v>4 år</v>
      </c>
      <c r="C25" s="84">
        <f t="shared" si="16"/>
        <v>813551.29782536719</v>
      </c>
      <c r="D25" s="97">
        <f t="shared" si="17"/>
        <v>14.108374406323607</v>
      </c>
      <c r="E25" s="62"/>
      <c r="F25" s="83">
        <f t="shared" si="0"/>
        <v>22</v>
      </c>
      <c r="G25" s="84">
        <f t="shared" si="1"/>
        <v>38985.432714993862</v>
      </c>
      <c r="H25" s="84">
        <f t="shared" si="2"/>
        <v>30359.846296839052</v>
      </c>
      <c r="I25" s="84">
        <f t="shared" si="3"/>
        <v>8625.5864181548095</v>
      </c>
      <c r="J25" s="84">
        <f t="shared" si="4"/>
        <v>5587038.3453059783</v>
      </c>
      <c r="K25" s="80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75" customHeight="1" x14ac:dyDescent="0.25">
      <c r="A26" s="96">
        <f>5-$C$6</f>
        <v>5</v>
      </c>
      <c r="B26" s="78" t="str">
        <f t="shared" si="15"/>
        <v>5 år</v>
      </c>
      <c r="C26" s="84">
        <f t="shared" si="16"/>
        <v>1019131.618986534</v>
      </c>
      <c r="D26" s="97">
        <f t="shared" si="17"/>
        <v>17.673489659985925</v>
      </c>
      <c r="E26" s="62"/>
      <c r="F26" s="83">
        <f t="shared" si="0"/>
        <v>23</v>
      </c>
      <c r="G26" s="84">
        <f t="shared" si="1"/>
        <v>38985.432714993862</v>
      </c>
      <c r="H26" s="84">
        <f t="shared" si="2"/>
        <v>30313.124370407386</v>
      </c>
      <c r="I26" s="84">
        <f t="shared" si="3"/>
        <v>8672.3083445864759</v>
      </c>
      <c r="J26" s="84">
        <f t="shared" si="4"/>
        <v>5578366.0369613916</v>
      </c>
      <c r="K26" s="80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75" customHeight="1" x14ac:dyDescent="0.25">
      <c r="A27" s="96">
        <f>6-$C$6</f>
        <v>6</v>
      </c>
      <c r="B27" s="78" t="str">
        <f t="shared" si="15"/>
        <v>6 år</v>
      </c>
      <c r="C27" s="84">
        <f t="shared" si="16"/>
        <v>1228718.9675302664</v>
      </c>
      <c r="D27" s="97">
        <f t="shared" si="17"/>
        <v>21.308093638846938</v>
      </c>
      <c r="E27" s="62"/>
      <c r="F27" s="83">
        <f t="shared" si="0"/>
        <v>24</v>
      </c>
      <c r="G27" s="84">
        <f t="shared" si="1"/>
        <v>38985.432714993862</v>
      </c>
      <c r="H27" s="84">
        <f t="shared" si="2"/>
        <v>30266.149366874204</v>
      </c>
      <c r="I27" s="84">
        <f t="shared" si="3"/>
        <v>8719.2833481196576</v>
      </c>
      <c r="J27" s="84">
        <f t="shared" si="4"/>
        <v>5569646.7536132718</v>
      </c>
      <c r="K27" s="80"/>
      <c r="L27" s="76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75" customHeight="1" x14ac:dyDescent="0.25">
      <c r="A28" s="96">
        <f>7-$C$6</f>
        <v>7</v>
      </c>
      <c r="B28" s="78" t="str">
        <f t="shared" si="15"/>
        <v>7 år</v>
      </c>
      <c r="C28" s="84">
        <f t="shared" si="16"/>
        <v>1442294.9120662138</v>
      </c>
      <c r="D28" s="97">
        <f t="shared" si="17"/>
        <v>25.011866710995797</v>
      </c>
      <c r="E28" s="62"/>
      <c r="F28" s="83">
        <f t="shared" si="0"/>
        <v>25</v>
      </c>
      <c r="G28" s="84">
        <f t="shared" si="1"/>
        <v>38985.432714993862</v>
      </c>
      <c r="H28" s="84">
        <f t="shared" si="2"/>
        <v>30218.919915405222</v>
      </c>
      <c r="I28" s="84">
        <f t="shared" si="3"/>
        <v>8766.5127995886396</v>
      </c>
      <c r="J28" s="84">
        <f t="shared" si="4"/>
        <v>5560880.2408136828</v>
      </c>
      <c r="K28" s="80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75" customHeight="1" x14ac:dyDescent="0.25">
      <c r="A29" s="96">
        <f>10-$C$6</f>
        <v>10</v>
      </c>
      <c r="B29" s="78" t="str">
        <f t="shared" si="15"/>
        <v>10 år</v>
      </c>
      <c r="C29" s="84">
        <f t="shared" si="16"/>
        <v>2106722.0795670794</v>
      </c>
      <c r="D29" s="97">
        <f t="shared" si="17"/>
        <v>36.534173011645905</v>
      </c>
      <c r="E29" s="62"/>
      <c r="F29" s="83">
        <f t="shared" si="0"/>
        <v>26</v>
      </c>
      <c r="G29" s="84">
        <f t="shared" si="1"/>
        <v>38985.432714993862</v>
      </c>
      <c r="H29" s="84">
        <f t="shared" si="2"/>
        <v>30171.434637740782</v>
      </c>
      <c r="I29" s="84">
        <f t="shared" si="3"/>
        <v>8813.9980772530798</v>
      </c>
      <c r="J29" s="84">
        <f t="shared" si="4"/>
        <v>5552066.2427364299</v>
      </c>
      <c r="K29" s="80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75" customHeight="1" x14ac:dyDescent="0.25">
      <c r="A30" s="98">
        <v>15</v>
      </c>
      <c r="B30" s="78" t="str">
        <f t="shared" si="15"/>
        <v>15 år</v>
      </c>
      <c r="C30" s="84">
        <f t="shared" si="16"/>
        <v>3291250.4599647168</v>
      </c>
      <c r="D30" s="97">
        <f t="shared" si="17"/>
        <v>57.075926101139771</v>
      </c>
      <c r="E30" s="62"/>
      <c r="F30" s="83">
        <f t="shared" si="0"/>
        <v>27</v>
      </c>
      <c r="G30" s="84">
        <f t="shared" si="1"/>
        <v>38985.432714993862</v>
      </c>
      <c r="H30" s="84">
        <f t="shared" si="2"/>
        <v>30123.692148155664</v>
      </c>
      <c r="I30" s="84">
        <f t="shared" si="3"/>
        <v>8861.740566838198</v>
      </c>
      <c r="J30" s="84">
        <f t="shared" si="4"/>
        <v>5543204.5021695914</v>
      </c>
      <c r="K30" s="80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75" customHeight="1" x14ac:dyDescent="0.25">
      <c r="A31" s="96">
        <f>20-$C$6</f>
        <v>20</v>
      </c>
      <c r="B31" s="78" t="str">
        <f t="shared" si="15"/>
        <v>20 år</v>
      </c>
      <c r="C31" s="84">
        <f t="shared" si="16"/>
        <v>4567838.5771820359</v>
      </c>
      <c r="D31" s="97">
        <f t="shared" si="17"/>
        <v>79.214152871237957</v>
      </c>
      <c r="E31" s="62"/>
      <c r="F31" s="83">
        <f t="shared" si="0"/>
        <v>28</v>
      </c>
      <c r="G31" s="84">
        <f t="shared" si="1"/>
        <v>38985.432714993862</v>
      </c>
      <c r="H31" s="84">
        <f t="shared" si="2"/>
        <v>30075.691053418621</v>
      </c>
      <c r="I31" s="84">
        <f t="shared" si="3"/>
        <v>8909.7416615752409</v>
      </c>
      <c r="J31" s="84">
        <f t="shared" si="4"/>
        <v>5534294.7605080158</v>
      </c>
      <c r="K31" s="80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75" customHeight="1" x14ac:dyDescent="0.25">
      <c r="A32" s="96">
        <f>25-$C$6</f>
        <v>25</v>
      </c>
      <c r="B32" s="78" t="str">
        <f t="shared" si="15"/>
        <v>25 år</v>
      </c>
      <c r="C32" s="84">
        <f t="shared" si="16"/>
        <v>5930137.3144981582</v>
      </c>
      <c r="D32" s="97">
        <f t="shared" si="17"/>
        <v>102.83874875190654</v>
      </c>
      <c r="E32" s="62"/>
      <c r="F32" s="83">
        <f t="shared" si="0"/>
        <v>29</v>
      </c>
      <c r="G32" s="84">
        <f t="shared" si="1"/>
        <v>38985.432714993862</v>
      </c>
      <c r="H32" s="84">
        <f t="shared" si="2"/>
        <v>30027.429952751754</v>
      </c>
      <c r="I32" s="84">
        <f t="shared" si="3"/>
        <v>8958.0027622421076</v>
      </c>
      <c r="J32" s="84">
        <f t="shared" si="4"/>
        <v>5525336.7577457735</v>
      </c>
      <c r="K32" s="80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ht="15.75" customHeight="1" x14ac:dyDescent="0.25">
      <c r="A33" s="96">
        <f>30-$C$6</f>
        <v>30</v>
      </c>
      <c r="B33" s="78" t="str">
        <f t="shared" si="15"/>
        <v>30 år</v>
      </c>
      <c r="C33" s="84">
        <f t="shared" si="16"/>
        <v>7370729.5888189673</v>
      </c>
      <c r="D33" s="97">
        <f t="shared" si="17"/>
        <v>127.82108880508159</v>
      </c>
      <c r="E33" s="62"/>
      <c r="F33" s="83">
        <f t="shared" si="0"/>
        <v>30</v>
      </c>
      <c r="G33" s="84">
        <f t="shared" si="1"/>
        <v>38985.432714993862</v>
      </c>
      <c r="H33" s="84">
        <f t="shared" si="2"/>
        <v>29978.907437789607</v>
      </c>
      <c r="I33" s="84">
        <f t="shared" si="3"/>
        <v>9006.525277204255</v>
      </c>
      <c r="J33" s="84">
        <f t="shared" si="4"/>
        <v>5516330.2324685697</v>
      </c>
      <c r="K33" s="80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15.75" customHeight="1" x14ac:dyDescent="0.25">
      <c r="A34" s="96">
        <f>35-$C$6</f>
        <v>35</v>
      </c>
      <c r="B34" s="78" t="str">
        <f t="shared" si="15"/>
        <v>35 år</v>
      </c>
      <c r="C34" s="84">
        <f t="shared" si="16"/>
        <v>8881556.2685548626</v>
      </c>
      <c r="D34" s="97">
        <f t="shared" si="17"/>
        <v>154.02141387094144</v>
      </c>
      <c r="E34" s="62"/>
      <c r="F34" s="83">
        <f t="shared" si="0"/>
        <v>31</v>
      </c>
      <c r="G34" s="84">
        <f t="shared" si="1"/>
        <v>38985.432714993862</v>
      </c>
      <c r="H34" s="84">
        <f t="shared" si="2"/>
        <v>29930.122092538088</v>
      </c>
      <c r="I34" s="84">
        <f t="shared" si="3"/>
        <v>9055.3106224557741</v>
      </c>
      <c r="J34" s="84">
        <f t="shared" si="4"/>
        <v>5507274.9218461141</v>
      </c>
      <c r="K34" s="80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ht="15.75" customHeight="1" x14ac:dyDescent="0.25">
      <c r="A35" s="96">
        <f>40-$C$6</f>
        <v>40</v>
      </c>
      <c r="B35" s="78" t="str">
        <f t="shared" si="15"/>
        <v>40 år</v>
      </c>
      <c r="C35" s="84">
        <f t="shared" si="16"/>
        <v>10454322.051344555</v>
      </c>
      <c r="D35" s="97">
        <f t="shared" si="17"/>
        <v>181.29586918354869</v>
      </c>
      <c r="E35" s="62"/>
      <c r="F35" s="83">
        <f t="shared" si="0"/>
        <v>32</v>
      </c>
      <c r="G35" s="84">
        <f t="shared" si="1"/>
        <v>38985.432714993862</v>
      </c>
      <c r="H35" s="84">
        <f t="shared" si="2"/>
        <v>29881.072493333118</v>
      </c>
      <c r="I35" s="84">
        <f t="shared" si="3"/>
        <v>9104.3602216607433</v>
      </c>
      <c r="J35" s="84">
        <f t="shared" si="4"/>
        <v>5498170.5616244534</v>
      </c>
      <c r="K35" s="80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15.75" customHeight="1" x14ac:dyDescent="0.25">
      <c r="A36" s="62"/>
      <c r="B36" s="62"/>
      <c r="C36" s="76"/>
      <c r="D36" s="77"/>
      <c r="E36" s="62"/>
      <c r="F36" s="83">
        <f t="shared" si="0"/>
        <v>33</v>
      </c>
      <c r="G36" s="84">
        <f t="shared" si="1"/>
        <v>38985.432714993862</v>
      </c>
      <c r="H36" s="84">
        <f t="shared" si="2"/>
        <v>29831.757208799125</v>
      </c>
      <c r="I36" s="84">
        <f t="shared" si="3"/>
        <v>9153.675506194737</v>
      </c>
      <c r="J36" s="84">
        <f t="shared" si="4"/>
        <v>5489016.8861182583</v>
      </c>
      <c r="K36" s="80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ht="15.75" customHeight="1" x14ac:dyDescent="0.25">
      <c r="A37" s="62"/>
      <c r="B37" s="176" t="s">
        <v>112</v>
      </c>
      <c r="C37" s="177"/>
      <c r="D37" s="77"/>
      <c r="E37" s="62"/>
      <c r="F37" s="83">
        <f t="shared" si="0"/>
        <v>34</v>
      </c>
      <c r="G37" s="84">
        <f t="shared" si="1"/>
        <v>38985.432714993862</v>
      </c>
      <c r="H37" s="84">
        <f t="shared" si="2"/>
        <v>29782.174799807235</v>
      </c>
      <c r="I37" s="84">
        <f t="shared" si="3"/>
        <v>9203.2579151866266</v>
      </c>
      <c r="J37" s="84">
        <f t="shared" si="4"/>
        <v>5479813.6282030717</v>
      </c>
      <c r="K37" s="80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15.75" customHeight="1" x14ac:dyDescent="0.25">
      <c r="A38" s="62"/>
      <c r="B38" s="78" t="s">
        <v>113</v>
      </c>
      <c r="C38" s="84">
        <f>SUM(H:H)</f>
        <v>5929187.3144981507</v>
      </c>
      <c r="D38" s="77"/>
      <c r="E38" s="62"/>
      <c r="F38" s="83">
        <f t="shared" si="0"/>
        <v>35</v>
      </c>
      <c r="G38" s="84">
        <f t="shared" si="1"/>
        <v>38985.432714993862</v>
      </c>
      <c r="H38" s="84">
        <f t="shared" si="2"/>
        <v>29732.323819433306</v>
      </c>
      <c r="I38" s="84">
        <f t="shared" si="3"/>
        <v>9253.1088955605555</v>
      </c>
      <c r="J38" s="84">
        <f t="shared" si="4"/>
        <v>5470560.5193075109</v>
      </c>
      <c r="K38" s="80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ht="15.75" customHeight="1" x14ac:dyDescent="0.25">
      <c r="A39" s="62"/>
      <c r="B39" s="78" t="s">
        <v>79</v>
      </c>
      <c r="C39" s="84">
        <f>SUM(K:K)</f>
        <v>0</v>
      </c>
      <c r="D39" s="77"/>
      <c r="E39" s="62"/>
      <c r="F39" s="83">
        <f t="shared" si="0"/>
        <v>36</v>
      </c>
      <c r="G39" s="84">
        <f t="shared" si="1"/>
        <v>38985.432714993862</v>
      </c>
      <c r="H39" s="84">
        <f t="shared" si="2"/>
        <v>29682.202812915686</v>
      </c>
      <c r="I39" s="84">
        <f t="shared" si="3"/>
        <v>9303.2299020781757</v>
      </c>
      <c r="J39" s="84">
        <f t="shared" si="4"/>
        <v>5461257.2894054325</v>
      </c>
      <c r="K39" s="80"/>
      <c r="L39" s="76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5.75" customHeight="1" x14ac:dyDescent="0.25">
      <c r="A40" s="62"/>
      <c r="B40" s="78" t="s">
        <v>114</v>
      </c>
      <c r="C40" s="84">
        <f>C17-C38</f>
        <v>7.4505805969238281E-9</v>
      </c>
      <c r="D40" s="77"/>
      <c r="E40" s="62"/>
      <c r="F40" s="83">
        <f t="shared" si="0"/>
        <v>37</v>
      </c>
      <c r="G40" s="84">
        <f t="shared" si="1"/>
        <v>38985.432714993862</v>
      </c>
      <c r="H40" s="84">
        <f t="shared" si="2"/>
        <v>29631.810317612762</v>
      </c>
      <c r="I40" s="84">
        <f t="shared" si="3"/>
        <v>9353.6223973810993</v>
      </c>
      <c r="J40" s="84">
        <f t="shared" si="4"/>
        <v>5451903.6670080516</v>
      </c>
      <c r="K40" s="80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ht="15.75" customHeight="1" x14ac:dyDescent="0.25">
      <c r="A41" s="62"/>
      <c r="B41" s="62"/>
      <c r="C41" s="76"/>
      <c r="D41" s="77"/>
      <c r="E41" s="62"/>
      <c r="F41" s="83">
        <f t="shared" si="0"/>
        <v>38</v>
      </c>
      <c r="G41" s="84">
        <f t="shared" si="1"/>
        <v>38985.432714993862</v>
      </c>
      <c r="H41" s="84">
        <f t="shared" si="2"/>
        <v>29581.144862960282</v>
      </c>
      <c r="I41" s="84">
        <f t="shared" si="3"/>
        <v>9404.2878520335798</v>
      </c>
      <c r="J41" s="84">
        <f t="shared" si="4"/>
        <v>5442499.3791560177</v>
      </c>
      <c r="K41" s="80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5.75" customHeight="1" x14ac:dyDescent="0.25">
      <c r="A42" s="62"/>
      <c r="B42" s="62"/>
      <c r="C42" s="76"/>
      <c r="D42" s="77"/>
      <c r="E42" s="62"/>
      <c r="F42" s="83">
        <f t="shared" si="0"/>
        <v>39</v>
      </c>
      <c r="G42" s="84">
        <f t="shared" si="1"/>
        <v>38985.432714993862</v>
      </c>
      <c r="H42" s="84">
        <f t="shared" si="2"/>
        <v>29530.204970428429</v>
      </c>
      <c r="I42" s="84">
        <f t="shared" si="3"/>
        <v>9455.2277445654327</v>
      </c>
      <c r="J42" s="84">
        <f t="shared" si="4"/>
        <v>5433044.1514114523</v>
      </c>
      <c r="K42" s="80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ht="15.75" customHeight="1" x14ac:dyDescent="0.25">
      <c r="A43" s="62"/>
      <c r="B43" s="76"/>
      <c r="C43" s="76"/>
      <c r="D43" s="77"/>
      <c r="E43" s="62"/>
      <c r="F43" s="83">
        <f t="shared" si="0"/>
        <v>40</v>
      </c>
      <c r="G43" s="84">
        <f t="shared" si="1"/>
        <v>38985.432714993862</v>
      </c>
      <c r="H43" s="84">
        <f t="shared" si="2"/>
        <v>29478.989153478702</v>
      </c>
      <c r="I43" s="84">
        <f t="shared" si="3"/>
        <v>9506.4435615151597</v>
      </c>
      <c r="J43" s="84">
        <f t="shared" si="4"/>
        <v>5423537.7078499375</v>
      </c>
      <c r="K43" s="80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15.75" customHeight="1" x14ac:dyDescent="0.25">
      <c r="A44" s="62"/>
      <c r="B44" s="76"/>
      <c r="C44" s="76"/>
      <c r="D44" s="77"/>
      <c r="E44" s="62"/>
      <c r="F44" s="83">
        <f t="shared" si="0"/>
        <v>41</v>
      </c>
      <c r="G44" s="84">
        <f t="shared" si="1"/>
        <v>38985.432714993862</v>
      </c>
      <c r="H44" s="84">
        <f t="shared" si="2"/>
        <v>29427.495917520497</v>
      </c>
      <c r="I44" s="84">
        <f t="shared" si="3"/>
        <v>9557.936797473365</v>
      </c>
      <c r="J44" s="84">
        <f t="shared" si="4"/>
        <v>5413979.7710524639</v>
      </c>
      <c r="K44" s="80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ht="15.75" customHeight="1" x14ac:dyDescent="0.25">
      <c r="A45" s="62"/>
      <c r="B45" s="76"/>
      <c r="C45" s="76"/>
      <c r="D45" s="77"/>
      <c r="E45" s="62"/>
      <c r="F45" s="83">
        <f t="shared" si="0"/>
        <v>42</v>
      </c>
      <c r="G45" s="84">
        <f t="shared" si="1"/>
        <v>38985.432714993862</v>
      </c>
      <c r="H45" s="84">
        <f t="shared" si="2"/>
        <v>29375.723759867513</v>
      </c>
      <c r="I45" s="84">
        <f t="shared" si="3"/>
        <v>9609.7089551263489</v>
      </c>
      <c r="J45" s="84">
        <f t="shared" si="4"/>
        <v>5404370.0620973371</v>
      </c>
      <c r="K45" s="80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15.75" customHeight="1" x14ac:dyDescent="0.25">
      <c r="A46" s="62"/>
      <c r="B46" s="62"/>
      <c r="C46" s="76"/>
      <c r="D46" s="77"/>
      <c r="E46" s="62"/>
      <c r="F46" s="83">
        <f t="shared" si="0"/>
        <v>43</v>
      </c>
      <c r="G46" s="84">
        <f t="shared" si="1"/>
        <v>38985.432714993862</v>
      </c>
      <c r="H46" s="84">
        <f t="shared" si="2"/>
        <v>29323.671169693913</v>
      </c>
      <c r="I46" s="84">
        <f t="shared" si="3"/>
        <v>9661.7615452999489</v>
      </c>
      <c r="J46" s="84">
        <f t="shared" si="4"/>
        <v>5394708.3005520375</v>
      </c>
      <c r="K46" s="80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ht="15.75" customHeight="1" x14ac:dyDescent="0.25">
      <c r="A47" s="62"/>
      <c r="B47" s="76"/>
      <c r="C47" s="76"/>
      <c r="D47" s="77"/>
      <c r="E47" s="62"/>
      <c r="F47" s="83">
        <f t="shared" si="0"/>
        <v>44</v>
      </c>
      <c r="G47" s="84">
        <f t="shared" si="1"/>
        <v>38985.432714993862</v>
      </c>
      <c r="H47" s="84">
        <f t="shared" si="2"/>
        <v>29271.336627990207</v>
      </c>
      <c r="I47" s="84">
        <f t="shared" si="3"/>
        <v>9714.0960870036542</v>
      </c>
      <c r="J47" s="84">
        <f t="shared" si="4"/>
        <v>5384994.2044650335</v>
      </c>
      <c r="K47" s="80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15.75" customHeight="1" x14ac:dyDescent="0.25">
      <c r="A48" s="62"/>
      <c r="B48" s="62"/>
      <c r="C48" s="76"/>
      <c r="D48" s="77"/>
      <c r="E48" s="62"/>
      <c r="F48" s="83">
        <f t="shared" si="0"/>
        <v>45</v>
      </c>
      <c r="G48" s="84">
        <f t="shared" si="1"/>
        <v>38985.432714993862</v>
      </c>
      <c r="H48" s="84">
        <f t="shared" si="2"/>
        <v>29218.718607518935</v>
      </c>
      <c r="I48" s="84">
        <f t="shared" si="3"/>
        <v>9766.714107474927</v>
      </c>
      <c r="J48" s="84">
        <f t="shared" si="4"/>
        <v>5375227.4903575582</v>
      </c>
      <c r="K48" s="80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ht="15.75" customHeight="1" x14ac:dyDescent="0.25">
      <c r="A49" s="62"/>
      <c r="B49" s="62"/>
      <c r="C49" s="76"/>
      <c r="D49" s="77"/>
      <c r="E49" s="62"/>
      <c r="F49" s="83">
        <f t="shared" si="0"/>
        <v>46</v>
      </c>
      <c r="G49" s="84">
        <f t="shared" si="1"/>
        <v>38985.432714993862</v>
      </c>
      <c r="H49" s="84">
        <f t="shared" si="2"/>
        <v>29165.815572770109</v>
      </c>
      <c r="I49" s="84">
        <f t="shared" si="3"/>
        <v>9819.617142223753</v>
      </c>
      <c r="J49" s="84">
        <f t="shared" si="4"/>
        <v>5365407.8732153345</v>
      </c>
      <c r="K49" s="80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ht="15.75" customHeight="1" x14ac:dyDescent="0.25">
      <c r="A50" s="62"/>
      <c r="B50" s="62"/>
      <c r="C50" s="76"/>
      <c r="D50" s="77"/>
      <c r="E50" s="62"/>
      <c r="F50" s="83">
        <f t="shared" si="0"/>
        <v>47</v>
      </c>
      <c r="G50" s="84">
        <f t="shared" si="1"/>
        <v>38985.432714993862</v>
      </c>
      <c r="H50" s="84">
        <f t="shared" si="2"/>
        <v>29112.625979916396</v>
      </c>
      <c r="I50" s="84">
        <f t="shared" si="3"/>
        <v>9872.8067350774654</v>
      </c>
      <c r="J50" s="84">
        <f t="shared" si="4"/>
        <v>5355535.0664802566</v>
      </c>
      <c r="K50" s="80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ht="15.75" customHeight="1" x14ac:dyDescent="0.25">
      <c r="A51" s="62"/>
      <c r="B51" s="62"/>
      <c r="C51" s="76"/>
      <c r="D51" s="77"/>
      <c r="E51" s="62"/>
      <c r="F51" s="83">
        <f t="shared" si="0"/>
        <v>48</v>
      </c>
      <c r="G51" s="84">
        <f t="shared" si="1"/>
        <v>38985.432714993862</v>
      </c>
      <c r="H51" s="84">
        <f t="shared" si="2"/>
        <v>29059.148276768057</v>
      </c>
      <c r="I51" s="84">
        <f t="shared" si="3"/>
        <v>9926.2844382258045</v>
      </c>
      <c r="J51" s="84">
        <f t="shared" si="4"/>
        <v>5345608.7820420312</v>
      </c>
      <c r="K51" s="80"/>
      <c r="L51" s="76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ht="15.75" customHeight="1" x14ac:dyDescent="0.25">
      <c r="A52" s="62"/>
      <c r="B52" s="62"/>
      <c r="C52" s="76"/>
      <c r="D52" s="77"/>
      <c r="E52" s="62"/>
      <c r="F52" s="83">
        <f t="shared" si="0"/>
        <v>49</v>
      </c>
      <c r="G52" s="84">
        <f t="shared" si="1"/>
        <v>38985.432714993862</v>
      </c>
      <c r="H52" s="84">
        <f t="shared" si="2"/>
        <v>29005.380902727669</v>
      </c>
      <c r="I52" s="84">
        <f t="shared" si="3"/>
        <v>9980.0518122661924</v>
      </c>
      <c r="J52" s="84">
        <f t="shared" si="4"/>
        <v>5335628.7302297652</v>
      </c>
      <c r="K52" s="80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ht="15.75" customHeight="1" x14ac:dyDescent="0.25">
      <c r="A53" s="62"/>
      <c r="B53" s="62"/>
      <c r="C53" s="76"/>
      <c r="D53" s="77"/>
      <c r="E53" s="62"/>
      <c r="F53" s="83">
        <f t="shared" si="0"/>
        <v>50</v>
      </c>
      <c r="G53" s="84">
        <f t="shared" si="1"/>
        <v>38985.432714993862</v>
      </c>
      <c r="H53" s="84">
        <f t="shared" si="2"/>
        <v>28951.322288744563</v>
      </c>
      <c r="I53" s="84">
        <f t="shared" si="3"/>
        <v>10034.110426249299</v>
      </c>
      <c r="J53" s="84">
        <f t="shared" si="4"/>
        <v>5325594.6198035162</v>
      </c>
      <c r="K53" s="80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15.75" customHeight="1" x14ac:dyDescent="0.25">
      <c r="A54" s="62"/>
      <c r="B54" s="62"/>
      <c r="C54" s="76"/>
      <c r="D54" s="77"/>
      <c r="E54" s="62"/>
      <c r="F54" s="83">
        <f t="shared" si="0"/>
        <v>51</v>
      </c>
      <c r="G54" s="84">
        <f t="shared" si="1"/>
        <v>38985.432714993862</v>
      </c>
      <c r="H54" s="84">
        <f t="shared" si="2"/>
        <v>28896.970857269047</v>
      </c>
      <c r="I54" s="84">
        <f t="shared" si="3"/>
        <v>10088.461857724815</v>
      </c>
      <c r="J54" s="84">
        <f t="shared" si="4"/>
        <v>5315506.1579457913</v>
      </c>
      <c r="K54" s="80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ht="15.75" customHeight="1" x14ac:dyDescent="0.25">
      <c r="A55" s="62"/>
      <c r="B55" s="62"/>
      <c r="C55" s="76"/>
      <c r="D55" s="77"/>
      <c r="E55" s="62"/>
      <c r="F55" s="83">
        <f t="shared" si="0"/>
        <v>52</v>
      </c>
      <c r="G55" s="84">
        <f t="shared" si="1"/>
        <v>38985.432714993862</v>
      </c>
      <c r="H55" s="84">
        <f t="shared" si="2"/>
        <v>28842.325022206369</v>
      </c>
      <c r="I55" s="84">
        <f t="shared" si="3"/>
        <v>10143.107692787493</v>
      </c>
      <c r="J55" s="84">
        <f t="shared" si="4"/>
        <v>5305363.0502530038</v>
      </c>
      <c r="K55" s="80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15.75" customHeight="1" x14ac:dyDescent="0.25">
      <c r="A56" s="62"/>
      <c r="B56" s="62"/>
      <c r="C56" s="76"/>
      <c r="D56" s="77"/>
      <c r="E56" s="62"/>
      <c r="F56" s="83">
        <f t="shared" si="0"/>
        <v>53</v>
      </c>
      <c r="G56" s="84">
        <f t="shared" si="1"/>
        <v>38985.432714993862</v>
      </c>
      <c r="H56" s="84">
        <f t="shared" si="2"/>
        <v>28787.383188870441</v>
      </c>
      <c r="I56" s="84">
        <f t="shared" si="3"/>
        <v>10198.049526123421</v>
      </c>
      <c r="J56" s="84">
        <f t="shared" si="4"/>
        <v>5295165.0007268805</v>
      </c>
      <c r="K56" s="80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ht="15.75" customHeight="1" x14ac:dyDescent="0.25">
      <c r="A57" s="62"/>
      <c r="B57" s="62"/>
      <c r="C57" s="76"/>
      <c r="D57" s="77"/>
      <c r="E57" s="62"/>
      <c r="F57" s="83">
        <f t="shared" si="0"/>
        <v>54</v>
      </c>
      <c r="G57" s="84">
        <f t="shared" si="1"/>
        <v>38985.432714993862</v>
      </c>
      <c r="H57" s="84">
        <f t="shared" si="2"/>
        <v>28732.143753937271</v>
      </c>
      <c r="I57" s="84">
        <f t="shared" si="3"/>
        <v>10253.288961056591</v>
      </c>
      <c r="J57" s="84">
        <f t="shared" si="4"/>
        <v>5284911.7117658239</v>
      </c>
      <c r="K57" s="80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15.75" customHeight="1" x14ac:dyDescent="0.25">
      <c r="A58" s="62"/>
      <c r="B58" s="62"/>
      <c r="C58" s="76"/>
      <c r="D58" s="77"/>
      <c r="E58" s="62"/>
      <c r="F58" s="83">
        <f t="shared" si="0"/>
        <v>55</v>
      </c>
      <c r="G58" s="84">
        <f t="shared" si="1"/>
        <v>38985.432714993862</v>
      </c>
      <c r="H58" s="84">
        <f t="shared" si="2"/>
        <v>28676.605105398212</v>
      </c>
      <c r="I58" s="84">
        <f t="shared" si="3"/>
        <v>10308.82760959565</v>
      </c>
      <c r="J58" s="84">
        <f t="shared" si="4"/>
        <v>5274602.884156228</v>
      </c>
      <c r="K58" s="80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ht="15.75" customHeight="1" x14ac:dyDescent="0.25">
      <c r="A59" s="62"/>
      <c r="B59" s="62"/>
      <c r="C59" s="76"/>
      <c r="D59" s="77"/>
      <c r="E59" s="62"/>
      <c r="F59" s="83">
        <f t="shared" si="0"/>
        <v>56</v>
      </c>
      <c r="G59" s="84">
        <f t="shared" si="1"/>
        <v>38985.432714993862</v>
      </c>
      <c r="H59" s="84">
        <f t="shared" si="2"/>
        <v>28620.765622512903</v>
      </c>
      <c r="I59" s="84">
        <f t="shared" si="3"/>
        <v>10364.667092480959</v>
      </c>
      <c r="J59" s="84">
        <f t="shared" si="4"/>
        <v>5264238.2170637473</v>
      </c>
      <c r="K59" s="80"/>
      <c r="L59" s="62"/>
      <c r="M59" s="62"/>
      <c r="N59" s="76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15.75" customHeight="1" x14ac:dyDescent="0.25">
      <c r="A60" s="62"/>
      <c r="B60" s="62"/>
      <c r="C60" s="76"/>
      <c r="D60" s="77"/>
      <c r="E60" s="62"/>
      <c r="F60" s="83">
        <f t="shared" si="0"/>
        <v>57</v>
      </c>
      <c r="G60" s="84">
        <f t="shared" si="1"/>
        <v>38985.432714993862</v>
      </c>
      <c r="H60" s="84">
        <f t="shared" si="2"/>
        <v>28564.623675761966</v>
      </c>
      <c r="I60" s="84">
        <f t="shared" si="3"/>
        <v>10420.809039231895</v>
      </c>
      <c r="J60" s="84">
        <f t="shared" si="4"/>
        <v>5253817.408024515</v>
      </c>
      <c r="K60" s="80"/>
      <c r="L60" s="62"/>
      <c r="M60" s="62"/>
      <c r="N60" s="76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ht="15.75" customHeight="1" x14ac:dyDescent="0.25">
      <c r="A61" s="62"/>
      <c r="B61" s="62"/>
      <c r="C61" s="76"/>
      <c r="D61" s="77"/>
      <c r="E61" s="62"/>
      <c r="F61" s="83">
        <f t="shared" si="0"/>
        <v>58</v>
      </c>
      <c r="G61" s="84">
        <f t="shared" si="1"/>
        <v>38985.432714993862</v>
      </c>
      <c r="H61" s="84">
        <f t="shared" si="2"/>
        <v>28508.177626799457</v>
      </c>
      <c r="I61" s="84">
        <f t="shared" si="3"/>
        <v>10477.255088194404</v>
      </c>
      <c r="J61" s="84">
        <f t="shared" si="4"/>
        <v>5243340.1529363208</v>
      </c>
      <c r="K61" s="80"/>
      <c r="L61" s="62"/>
      <c r="M61" s="62"/>
      <c r="N61" s="76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ht="15.75" customHeight="1" x14ac:dyDescent="0.25">
      <c r="A62" s="62"/>
      <c r="B62" s="62"/>
      <c r="C62" s="76"/>
      <c r="D62" s="77"/>
      <c r="E62" s="62"/>
      <c r="F62" s="83">
        <f t="shared" si="0"/>
        <v>59</v>
      </c>
      <c r="G62" s="84">
        <f t="shared" si="1"/>
        <v>38985.432714993862</v>
      </c>
      <c r="H62" s="84">
        <f t="shared" si="2"/>
        <v>28451.425828405074</v>
      </c>
      <c r="I62" s="84">
        <f t="shared" si="3"/>
        <v>10534.006886588788</v>
      </c>
      <c r="J62" s="84">
        <f t="shared" si="4"/>
        <v>5232806.1460497323</v>
      </c>
      <c r="K62" s="80"/>
      <c r="L62" s="62"/>
      <c r="M62" s="62"/>
      <c r="N62" s="76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ht="15.75" customHeight="1" x14ac:dyDescent="0.25">
      <c r="A63" s="62"/>
      <c r="B63" s="62"/>
      <c r="C63" s="76"/>
      <c r="D63" s="77"/>
      <c r="E63" s="62"/>
      <c r="F63" s="83">
        <f t="shared" si="0"/>
        <v>60</v>
      </c>
      <c r="G63" s="84">
        <f t="shared" si="1"/>
        <v>38985.432714993862</v>
      </c>
      <c r="H63" s="84">
        <f t="shared" si="2"/>
        <v>28394.36662443605</v>
      </c>
      <c r="I63" s="84">
        <f t="shared" si="3"/>
        <v>10591.066090557812</v>
      </c>
      <c r="J63" s="84">
        <f t="shared" si="4"/>
        <v>5222215.0799591746</v>
      </c>
      <c r="K63" s="80"/>
      <c r="L63" s="76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15.75" customHeight="1" x14ac:dyDescent="0.25">
      <c r="A64" s="62"/>
      <c r="B64" s="62"/>
      <c r="C64" s="76"/>
      <c r="D64" s="77"/>
      <c r="E64" s="62"/>
      <c r="F64" s="83">
        <f t="shared" si="0"/>
        <v>61</v>
      </c>
      <c r="G64" s="84">
        <f t="shared" si="1"/>
        <v>38985.432714993862</v>
      </c>
      <c r="H64" s="84">
        <f t="shared" si="2"/>
        <v>28336.998349778863</v>
      </c>
      <c r="I64" s="84">
        <f t="shared" si="3"/>
        <v>10648.434365214998</v>
      </c>
      <c r="J64" s="84">
        <f t="shared" si="4"/>
        <v>5211566.6455939598</v>
      </c>
      <c r="K64" s="80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ht="15.75" customHeight="1" x14ac:dyDescent="0.25">
      <c r="A65" s="62"/>
      <c r="B65" s="62"/>
      <c r="C65" s="76"/>
      <c r="D65" s="77"/>
      <c r="E65" s="62"/>
      <c r="F65" s="83">
        <f t="shared" si="0"/>
        <v>62</v>
      </c>
      <c r="G65" s="84">
        <f t="shared" si="1"/>
        <v>38985.432714993862</v>
      </c>
      <c r="H65" s="84">
        <f t="shared" si="2"/>
        <v>28279.319330300616</v>
      </c>
      <c r="I65" s="84">
        <f t="shared" si="3"/>
        <v>10706.113384693246</v>
      </c>
      <c r="J65" s="84">
        <f t="shared" si="4"/>
        <v>5200860.5322092669</v>
      </c>
      <c r="K65" s="80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15.75" customHeight="1" x14ac:dyDescent="0.25">
      <c r="A66" s="62"/>
      <c r="B66" s="62"/>
      <c r="C66" s="76"/>
      <c r="D66" s="77"/>
      <c r="E66" s="62"/>
      <c r="F66" s="83">
        <f t="shared" si="0"/>
        <v>63</v>
      </c>
      <c r="G66" s="84">
        <f t="shared" si="1"/>
        <v>38985.432714993862</v>
      </c>
      <c r="H66" s="84">
        <f t="shared" si="2"/>
        <v>28221.327882800197</v>
      </c>
      <c r="I66" s="84">
        <f t="shared" si="3"/>
        <v>10764.104832193665</v>
      </c>
      <c r="J66" s="84">
        <f t="shared" si="4"/>
        <v>5190096.4273770731</v>
      </c>
      <c r="K66" s="80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ht="15.75" customHeight="1" x14ac:dyDescent="0.25">
      <c r="A67" s="62"/>
      <c r="B67" s="62"/>
      <c r="C67" s="76"/>
      <c r="D67" s="77"/>
      <c r="E67" s="62"/>
      <c r="F67" s="83">
        <f t="shared" si="0"/>
        <v>64</v>
      </c>
      <c r="G67" s="84">
        <f t="shared" si="1"/>
        <v>38985.432714993862</v>
      </c>
      <c r="H67" s="84">
        <f t="shared" si="2"/>
        <v>28163.022314959147</v>
      </c>
      <c r="I67" s="84">
        <f t="shared" si="3"/>
        <v>10822.410400034714</v>
      </c>
      <c r="J67" s="84">
        <f t="shared" si="4"/>
        <v>5179274.0169770382</v>
      </c>
      <c r="K67" s="80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15.75" customHeight="1" x14ac:dyDescent="0.25">
      <c r="A68" s="62"/>
      <c r="B68" s="62"/>
      <c r="C68" s="76"/>
      <c r="D68" s="77"/>
      <c r="E68" s="62"/>
      <c r="F68" s="83">
        <f t="shared" si="0"/>
        <v>65</v>
      </c>
      <c r="G68" s="84">
        <f t="shared" si="1"/>
        <v>38985.432714993862</v>
      </c>
      <c r="H68" s="84">
        <f t="shared" si="2"/>
        <v>28104.400925292288</v>
      </c>
      <c r="I68" s="84">
        <f t="shared" si="3"/>
        <v>10881.031789701574</v>
      </c>
      <c r="J68" s="84">
        <f t="shared" si="4"/>
        <v>5168392.9851873368</v>
      </c>
      <c r="K68" s="80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ht="15.75" customHeight="1" x14ac:dyDescent="0.25">
      <c r="A69" s="62"/>
      <c r="B69" s="62"/>
      <c r="C69" s="76"/>
      <c r="D69" s="77"/>
      <c r="E69" s="62"/>
      <c r="F69" s="83">
        <f t="shared" si="0"/>
        <v>66</v>
      </c>
      <c r="G69" s="84">
        <f t="shared" si="1"/>
        <v>38985.432714993862</v>
      </c>
      <c r="H69" s="84">
        <f t="shared" si="2"/>
        <v>28045.462003098073</v>
      </c>
      <c r="I69" s="84">
        <f t="shared" si="3"/>
        <v>10939.970711895789</v>
      </c>
      <c r="J69" s="84">
        <f t="shared" si="4"/>
        <v>5157453.0144754406</v>
      </c>
      <c r="K69" s="80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15.75" customHeight="1" x14ac:dyDescent="0.25">
      <c r="A70" s="62"/>
      <c r="B70" s="62"/>
      <c r="C70" s="76"/>
      <c r="D70" s="77"/>
      <c r="E70" s="62"/>
      <c r="F70" s="83">
        <f t="shared" si="0"/>
        <v>67</v>
      </c>
      <c r="G70" s="84">
        <f t="shared" si="1"/>
        <v>38985.432714993862</v>
      </c>
      <c r="H70" s="84">
        <f t="shared" si="2"/>
        <v>27986.203828408641</v>
      </c>
      <c r="I70" s="84">
        <f t="shared" si="3"/>
        <v>10999.228886585221</v>
      </c>
      <c r="J70" s="84">
        <f t="shared" si="4"/>
        <v>5146453.7855888549</v>
      </c>
      <c r="K70" s="80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ht="15.75" customHeight="1" x14ac:dyDescent="0.25">
      <c r="A71" s="62"/>
      <c r="B71" s="62"/>
      <c r="C71" s="76"/>
      <c r="D71" s="77"/>
      <c r="E71" s="62"/>
      <c r="F71" s="83">
        <f t="shared" si="0"/>
        <v>68</v>
      </c>
      <c r="G71" s="84">
        <f t="shared" si="1"/>
        <v>38985.432714993862</v>
      </c>
      <c r="H71" s="84">
        <f t="shared" si="2"/>
        <v>27926.624671939629</v>
      </c>
      <c r="I71" s="84">
        <f t="shared" si="3"/>
        <v>11058.808043054232</v>
      </c>
      <c r="J71" s="84">
        <f t="shared" si="4"/>
        <v>5135394.9775458006</v>
      </c>
      <c r="K71" s="80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15.75" customHeight="1" x14ac:dyDescent="0.25">
      <c r="A72" s="62"/>
      <c r="B72" s="62"/>
      <c r="C72" s="76"/>
      <c r="D72" s="77"/>
      <c r="E72" s="62"/>
      <c r="F72" s="83">
        <f t="shared" si="0"/>
        <v>69</v>
      </c>
      <c r="G72" s="84">
        <f t="shared" si="1"/>
        <v>38985.432714993862</v>
      </c>
      <c r="H72" s="84">
        <f t="shared" si="2"/>
        <v>27866.722795039754</v>
      </c>
      <c r="I72" s="84">
        <f t="shared" si="3"/>
        <v>11118.709919954108</v>
      </c>
      <c r="J72" s="84">
        <f t="shared" si="4"/>
        <v>5124276.2676258469</v>
      </c>
      <c r="K72" s="80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ht="15.75" customHeight="1" x14ac:dyDescent="0.25">
      <c r="A73" s="62"/>
      <c r="B73" s="62"/>
      <c r="C73" s="76"/>
      <c r="D73" s="77"/>
      <c r="E73" s="62"/>
      <c r="F73" s="83">
        <f t="shared" si="0"/>
        <v>70</v>
      </c>
      <c r="G73" s="84">
        <f t="shared" si="1"/>
        <v>38985.432714993862</v>
      </c>
      <c r="H73" s="84">
        <f t="shared" si="2"/>
        <v>27806.496449640006</v>
      </c>
      <c r="I73" s="84">
        <f t="shared" si="3"/>
        <v>11178.936265353856</v>
      </c>
      <c r="J73" s="84">
        <f t="shared" si="4"/>
        <v>5113097.3313604929</v>
      </c>
      <c r="K73" s="80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15.75" customHeight="1" x14ac:dyDescent="0.25">
      <c r="A74" s="62"/>
      <c r="B74" s="62"/>
      <c r="C74" s="76"/>
      <c r="D74" s="77"/>
      <c r="E74" s="62"/>
      <c r="F74" s="83">
        <f t="shared" si="0"/>
        <v>71</v>
      </c>
      <c r="G74" s="84">
        <f t="shared" si="1"/>
        <v>38985.432714993862</v>
      </c>
      <c r="H74" s="84">
        <f t="shared" si="2"/>
        <v>27745.94387820267</v>
      </c>
      <c r="I74" s="84">
        <f t="shared" si="3"/>
        <v>11239.488836791192</v>
      </c>
      <c r="J74" s="84">
        <f t="shared" si="4"/>
        <v>5101857.8425237015</v>
      </c>
      <c r="K74" s="80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ht="15.75" customHeight="1" x14ac:dyDescent="0.25">
      <c r="A75" s="62"/>
      <c r="B75" s="62"/>
      <c r="C75" s="76"/>
      <c r="D75" s="77"/>
      <c r="E75" s="62"/>
      <c r="F75" s="83">
        <f t="shared" si="0"/>
        <v>72</v>
      </c>
      <c r="G75" s="84">
        <f t="shared" si="1"/>
        <v>38985.432714993862</v>
      </c>
      <c r="H75" s="84">
        <f t="shared" si="2"/>
        <v>27685.063313670049</v>
      </c>
      <c r="I75" s="84">
        <f t="shared" si="3"/>
        <v>11300.369401323813</v>
      </c>
      <c r="J75" s="84">
        <f t="shared" si="4"/>
        <v>5090557.4731223779</v>
      </c>
      <c r="K75" s="80"/>
      <c r="L75" s="76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15.75" customHeight="1" x14ac:dyDescent="0.25">
      <c r="A76" s="62"/>
      <c r="B76" s="62"/>
      <c r="C76" s="76"/>
      <c r="D76" s="77"/>
      <c r="E76" s="62"/>
      <c r="F76" s="83">
        <f t="shared" si="0"/>
        <v>73</v>
      </c>
      <c r="G76" s="84">
        <f t="shared" si="1"/>
        <v>38985.432714993862</v>
      </c>
      <c r="H76" s="84">
        <f t="shared" si="2"/>
        <v>27623.852979412881</v>
      </c>
      <c r="I76" s="84">
        <f t="shared" si="3"/>
        <v>11361.579735580981</v>
      </c>
      <c r="J76" s="84">
        <f t="shared" si="4"/>
        <v>5079195.893386797</v>
      </c>
      <c r="K76" s="80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ht="15.75" customHeight="1" x14ac:dyDescent="0.25">
      <c r="A77" s="62"/>
      <c r="B77" s="62"/>
      <c r="C77" s="76"/>
      <c r="D77" s="77"/>
      <c r="E77" s="62"/>
      <c r="F77" s="83">
        <f t="shared" si="0"/>
        <v>74</v>
      </c>
      <c r="G77" s="84">
        <f t="shared" si="1"/>
        <v>38985.432714993862</v>
      </c>
      <c r="H77" s="84">
        <f t="shared" si="2"/>
        <v>27562.311089178485</v>
      </c>
      <c r="I77" s="84">
        <f t="shared" si="3"/>
        <v>11423.121625815376</v>
      </c>
      <c r="J77" s="84">
        <f t="shared" si="4"/>
        <v>5067772.7717609815</v>
      </c>
      <c r="K77" s="80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15.75" customHeight="1" x14ac:dyDescent="0.25">
      <c r="A78" s="62"/>
      <c r="B78" s="62"/>
      <c r="C78" s="76"/>
      <c r="D78" s="77"/>
      <c r="E78" s="62"/>
      <c r="F78" s="83">
        <f t="shared" si="0"/>
        <v>75</v>
      </c>
      <c r="G78" s="84">
        <f t="shared" si="1"/>
        <v>38985.432714993862</v>
      </c>
      <c r="H78" s="84">
        <f t="shared" si="2"/>
        <v>27500.435847038651</v>
      </c>
      <c r="I78" s="84">
        <f t="shared" si="3"/>
        <v>11484.996867955211</v>
      </c>
      <c r="J78" s="84">
        <f t="shared" si="4"/>
        <v>5056287.7748930259</v>
      </c>
      <c r="K78" s="80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ht="15.75" customHeight="1" x14ac:dyDescent="0.25">
      <c r="A79" s="62"/>
      <c r="B79" s="62"/>
      <c r="C79" s="76"/>
      <c r="D79" s="77"/>
      <c r="E79" s="62"/>
      <c r="F79" s="83">
        <f t="shared" si="0"/>
        <v>76</v>
      </c>
      <c r="G79" s="84">
        <f t="shared" si="1"/>
        <v>38985.432714993862</v>
      </c>
      <c r="H79" s="84">
        <f t="shared" si="2"/>
        <v>27438.225447337227</v>
      </c>
      <c r="I79" s="84">
        <f t="shared" si="3"/>
        <v>11547.207267656635</v>
      </c>
      <c r="J79" s="84">
        <f t="shared" si="4"/>
        <v>5044740.5676253689</v>
      </c>
      <c r="K79" s="80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ht="15.75" customHeight="1" x14ac:dyDescent="0.25">
      <c r="A80" s="62"/>
      <c r="B80" s="62"/>
      <c r="C80" s="76"/>
      <c r="D80" s="77"/>
      <c r="E80" s="62"/>
      <c r="F80" s="83">
        <f t="shared" si="0"/>
        <v>77</v>
      </c>
      <c r="G80" s="84">
        <f t="shared" si="1"/>
        <v>38985.432714993862</v>
      </c>
      <c r="H80" s="84">
        <f t="shared" si="2"/>
        <v>27375.678074637417</v>
      </c>
      <c r="I80" s="84">
        <f t="shared" si="3"/>
        <v>11609.754640356445</v>
      </c>
      <c r="J80" s="84">
        <f t="shared" si="4"/>
        <v>5033130.8129850123</v>
      </c>
      <c r="K80" s="80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ht="15.75" customHeight="1" x14ac:dyDescent="0.25">
      <c r="A81" s="62"/>
      <c r="B81" s="62"/>
      <c r="C81" s="76"/>
      <c r="D81" s="77"/>
      <c r="E81" s="62"/>
      <c r="F81" s="83">
        <f t="shared" si="0"/>
        <v>78</v>
      </c>
      <c r="G81" s="84">
        <f t="shared" si="1"/>
        <v>38985.432714993862</v>
      </c>
      <c r="H81" s="84">
        <f t="shared" si="2"/>
        <v>27312.791903668814</v>
      </c>
      <c r="I81" s="84">
        <f t="shared" si="3"/>
        <v>11672.640811325047</v>
      </c>
      <c r="J81" s="84">
        <f t="shared" si="4"/>
        <v>5021458.1721736873</v>
      </c>
      <c r="K81" s="80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5.75" customHeight="1" x14ac:dyDescent="0.25">
      <c r="A82" s="62"/>
      <c r="B82" s="62"/>
      <c r="C82" s="76"/>
      <c r="D82" s="77"/>
      <c r="E82" s="62"/>
      <c r="F82" s="83">
        <f t="shared" si="0"/>
        <v>79</v>
      </c>
      <c r="G82" s="84">
        <f t="shared" si="1"/>
        <v>38985.432714993862</v>
      </c>
      <c r="H82" s="84">
        <f t="shared" si="2"/>
        <v>27249.565099274139</v>
      </c>
      <c r="I82" s="84">
        <f t="shared" si="3"/>
        <v>11735.867615719722</v>
      </c>
      <c r="J82" s="84">
        <f t="shared" si="4"/>
        <v>5009722.3045579679</v>
      </c>
      <c r="K82" s="80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ht="15.75" customHeight="1" x14ac:dyDescent="0.25">
      <c r="A83" s="62"/>
      <c r="B83" s="62"/>
      <c r="C83" s="76"/>
      <c r="D83" s="77"/>
      <c r="E83" s="62"/>
      <c r="F83" s="83">
        <f t="shared" si="0"/>
        <v>80</v>
      </c>
      <c r="G83" s="84">
        <f t="shared" si="1"/>
        <v>38985.432714993862</v>
      </c>
      <c r="H83" s="84">
        <f t="shared" si="2"/>
        <v>27185.995816355658</v>
      </c>
      <c r="I83" s="84">
        <f t="shared" si="3"/>
        <v>11799.436898638203</v>
      </c>
      <c r="J83" s="84">
        <f t="shared" si="4"/>
        <v>4997922.8676593294</v>
      </c>
      <c r="K83" s="80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15.75" customHeight="1" x14ac:dyDescent="0.25">
      <c r="A84" s="62"/>
      <c r="B84" s="62"/>
      <c r="C84" s="76"/>
      <c r="D84" s="77"/>
      <c r="E84" s="62"/>
      <c r="F84" s="83">
        <f t="shared" si="0"/>
        <v>81</v>
      </c>
      <c r="G84" s="84">
        <f t="shared" si="1"/>
        <v>38985.432714993862</v>
      </c>
      <c r="H84" s="84">
        <f t="shared" si="2"/>
        <v>27122.082199821369</v>
      </c>
      <c r="I84" s="84">
        <f t="shared" si="3"/>
        <v>11863.350515172493</v>
      </c>
      <c r="J84" s="84">
        <f t="shared" si="4"/>
        <v>4986059.5171441566</v>
      </c>
      <c r="K84" s="80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ht="15.75" customHeight="1" x14ac:dyDescent="0.25">
      <c r="A85" s="62"/>
      <c r="B85" s="62"/>
      <c r="C85" s="76"/>
      <c r="D85" s="77"/>
      <c r="E85" s="62"/>
      <c r="F85" s="83">
        <f t="shared" si="0"/>
        <v>82</v>
      </c>
      <c r="G85" s="84">
        <f t="shared" si="1"/>
        <v>38985.432714993862</v>
      </c>
      <c r="H85" s="84">
        <f t="shared" si="2"/>
        <v>27057.822384530849</v>
      </c>
      <c r="I85" s="84">
        <f t="shared" si="3"/>
        <v>11927.610330463012</v>
      </c>
      <c r="J85" s="84">
        <f t="shared" si="4"/>
        <v>4974131.9068136932</v>
      </c>
      <c r="K85" s="80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5.75" customHeight="1" x14ac:dyDescent="0.25">
      <c r="A86" s="62"/>
      <c r="B86" s="62"/>
      <c r="C86" s="76"/>
      <c r="D86" s="77"/>
      <c r="E86" s="62"/>
      <c r="F86" s="83">
        <f t="shared" si="0"/>
        <v>83</v>
      </c>
      <c r="G86" s="84">
        <f t="shared" si="1"/>
        <v>38985.432714993862</v>
      </c>
      <c r="H86" s="84">
        <f t="shared" si="2"/>
        <v>26993.214495240842</v>
      </c>
      <c r="I86" s="84">
        <f t="shared" si="3"/>
        <v>11992.21821975302</v>
      </c>
      <c r="J86" s="84">
        <f t="shared" si="4"/>
        <v>4962139.6885939399</v>
      </c>
      <c r="K86" s="80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ht="15.75" customHeight="1" x14ac:dyDescent="0.25">
      <c r="A87" s="62"/>
      <c r="B87" s="62"/>
      <c r="C87" s="76"/>
      <c r="D87" s="77"/>
      <c r="E87" s="62"/>
      <c r="F87" s="83">
        <f t="shared" si="0"/>
        <v>84</v>
      </c>
      <c r="G87" s="84">
        <f t="shared" si="1"/>
        <v>38985.432714993862</v>
      </c>
      <c r="H87" s="84">
        <f t="shared" si="2"/>
        <v>26928.256646550508</v>
      </c>
      <c r="I87" s="84">
        <f t="shared" si="3"/>
        <v>12057.176068443354</v>
      </c>
      <c r="J87" s="84">
        <f t="shared" si="4"/>
        <v>4950082.5125254961</v>
      </c>
      <c r="K87" s="80"/>
      <c r="L87" s="76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15.75" customHeight="1" x14ac:dyDescent="0.25">
      <c r="A88" s="62"/>
      <c r="B88" s="62"/>
      <c r="C88" s="76"/>
      <c r="D88" s="77"/>
      <c r="E88" s="62"/>
      <c r="F88" s="83">
        <f t="shared" si="0"/>
        <v>85</v>
      </c>
      <c r="G88" s="84">
        <f t="shared" si="1"/>
        <v>38985.432714993862</v>
      </c>
      <c r="H88" s="84">
        <f t="shared" si="2"/>
        <v>26862.946942846436</v>
      </c>
      <c r="I88" s="84">
        <f t="shared" si="3"/>
        <v>12122.485772147425</v>
      </c>
      <c r="J88" s="84">
        <f t="shared" si="4"/>
        <v>4937960.0267533483</v>
      </c>
      <c r="K88" s="80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ht="15.75" customHeight="1" x14ac:dyDescent="0.25">
      <c r="A89" s="62"/>
      <c r="B89" s="62"/>
      <c r="C89" s="76"/>
      <c r="D89" s="77"/>
      <c r="E89" s="62"/>
      <c r="F89" s="83">
        <f t="shared" si="0"/>
        <v>86</v>
      </c>
      <c r="G89" s="84">
        <f t="shared" si="1"/>
        <v>38985.432714993862</v>
      </c>
      <c r="H89" s="84">
        <f t="shared" si="2"/>
        <v>26797.283478247304</v>
      </c>
      <c r="I89" s="84">
        <f t="shared" si="3"/>
        <v>12188.149236746558</v>
      </c>
      <c r="J89" s="84">
        <f t="shared" si="4"/>
        <v>4925771.8775166022</v>
      </c>
      <c r="K89" s="80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15.75" customHeight="1" x14ac:dyDescent="0.25">
      <c r="A90" s="62"/>
      <c r="B90" s="62"/>
      <c r="C90" s="76"/>
      <c r="D90" s="77"/>
      <c r="E90" s="62"/>
      <c r="F90" s="83">
        <f t="shared" si="0"/>
        <v>87</v>
      </c>
      <c r="G90" s="84">
        <f t="shared" si="1"/>
        <v>38985.432714993862</v>
      </c>
      <c r="H90" s="84">
        <f t="shared" si="2"/>
        <v>26731.264336548262</v>
      </c>
      <c r="I90" s="84">
        <f t="shared" si="3"/>
        <v>12254.1683784456</v>
      </c>
      <c r="J90" s="84">
        <f t="shared" si="4"/>
        <v>4913517.7091381568</v>
      </c>
      <c r="K90" s="80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ht="15.75" customHeight="1" x14ac:dyDescent="0.25">
      <c r="A91" s="62"/>
      <c r="B91" s="62"/>
      <c r="C91" s="76"/>
      <c r="D91" s="77"/>
      <c r="E91" s="62"/>
      <c r="F91" s="83">
        <f t="shared" si="0"/>
        <v>88</v>
      </c>
      <c r="G91" s="84">
        <f t="shared" si="1"/>
        <v>38985.432714993862</v>
      </c>
      <c r="H91" s="84">
        <f t="shared" si="2"/>
        <v>26664.887591165014</v>
      </c>
      <c r="I91" s="84">
        <f t="shared" si="3"/>
        <v>12320.545123828848</v>
      </c>
      <c r="J91" s="84">
        <f t="shared" si="4"/>
        <v>4901197.1640143283</v>
      </c>
      <c r="K91" s="80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15.75" customHeight="1" x14ac:dyDescent="0.25">
      <c r="A92" s="62"/>
      <c r="B92" s="62"/>
      <c r="C92" s="76"/>
      <c r="D92" s="77"/>
      <c r="E92" s="62"/>
      <c r="F92" s="83">
        <f t="shared" si="0"/>
        <v>89</v>
      </c>
      <c r="G92" s="84">
        <f t="shared" si="1"/>
        <v>38985.432714993862</v>
      </c>
      <c r="H92" s="84">
        <f t="shared" si="2"/>
        <v>26598.151305077612</v>
      </c>
      <c r="I92" s="84">
        <f t="shared" si="3"/>
        <v>12387.28140991625</v>
      </c>
      <c r="J92" s="84">
        <f t="shared" si="4"/>
        <v>4888809.8826044118</v>
      </c>
      <c r="K92" s="80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ht="15.75" customHeight="1" x14ac:dyDescent="0.25">
      <c r="A93" s="62"/>
      <c r="B93" s="62"/>
      <c r="C93" s="76"/>
      <c r="D93" s="77"/>
      <c r="E93" s="62"/>
      <c r="F93" s="83">
        <f t="shared" si="0"/>
        <v>90</v>
      </c>
      <c r="G93" s="84">
        <f t="shared" si="1"/>
        <v>38985.432714993862</v>
      </c>
      <c r="H93" s="84">
        <f t="shared" si="2"/>
        <v>26531.053530773901</v>
      </c>
      <c r="I93" s="84">
        <f t="shared" si="3"/>
        <v>12454.379184219961</v>
      </c>
      <c r="J93" s="84">
        <f t="shared" si="4"/>
        <v>4876355.5034201918</v>
      </c>
      <c r="K93" s="80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15.75" customHeight="1" x14ac:dyDescent="0.25">
      <c r="A94" s="62"/>
      <c r="B94" s="62"/>
      <c r="C94" s="76"/>
      <c r="D94" s="77"/>
      <c r="E94" s="62"/>
      <c r="F94" s="83">
        <f t="shared" si="0"/>
        <v>91</v>
      </c>
      <c r="G94" s="84">
        <f t="shared" si="1"/>
        <v>38985.432714993862</v>
      </c>
      <c r="H94" s="84">
        <f t="shared" si="2"/>
        <v>26463.592310192707</v>
      </c>
      <c r="I94" s="84">
        <f t="shared" si="3"/>
        <v>12521.840404801154</v>
      </c>
      <c r="J94" s="84">
        <f t="shared" si="4"/>
        <v>4863833.6630153907</v>
      </c>
      <c r="K94" s="80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ht="15.75" customHeight="1" x14ac:dyDescent="0.25">
      <c r="A95" s="62"/>
      <c r="B95" s="62"/>
      <c r="C95" s="76"/>
      <c r="D95" s="77"/>
      <c r="E95" s="62"/>
      <c r="F95" s="83">
        <f t="shared" si="0"/>
        <v>92</v>
      </c>
      <c r="G95" s="84">
        <f t="shared" si="1"/>
        <v>38985.432714993862</v>
      </c>
      <c r="H95" s="84">
        <f t="shared" si="2"/>
        <v>26395.765674666702</v>
      </c>
      <c r="I95" s="84">
        <f t="shared" si="3"/>
        <v>12589.66704032716</v>
      </c>
      <c r="J95" s="84">
        <f t="shared" si="4"/>
        <v>4851243.9959750632</v>
      </c>
      <c r="K95" s="80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15.75" customHeight="1" x14ac:dyDescent="0.25">
      <c r="A96" s="62"/>
      <c r="B96" s="62"/>
      <c r="C96" s="76"/>
      <c r="D96" s="77"/>
      <c r="E96" s="62"/>
      <c r="F96" s="83">
        <f t="shared" si="0"/>
        <v>93</v>
      </c>
      <c r="G96" s="84">
        <f t="shared" si="1"/>
        <v>38985.432714993862</v>
      </c>
      <c r="H96" s="84">
        <f t="shared" si="2"/>
        <v>26327.571644864929</v>
      </c>
      <c r="I96" s="84">
        <f t="shared" si="3"/>
        <v>12657.861070128933</v>
      </c>
      <c r="J96" s="84">
        <f t="shared" si="4"/>
        <v>4838586.1349049341</v>
      </c>
      <c r="K96" s="80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ht="15.75" customHeight="1" x14ac:dyDescent="0.25">
      <c r="A97" s="62"/>
      <c r="B97" s="62"/>
      <c r="C97" s="76"/>
      <c r="D97" s="77"/>
      <c r="E97" s="62"/>
      <c r="F97" s="83">
        <f t="shared" si="0"/>
        <v>94</v>
      </c>
      <c r="G97" s="84">
        <f t="shared" si="1"/>
        <v>38985.432714993862</v>
      </c>
      <c r="H97" s="84">
        <f t="shared" si="2"/>
        <v>26259.008230735064</v>
      </c>
      <c r="I97" s="84">
        <f t="shared" si="3"/>
        <v>12726.424484258798</v>
      </c>
      <c r="J97" s="84">
        <f t="shared" si="4"/>
        <v>4825859.7104206756</v>
      </c>
      <c r="K97" s="80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ht="15.75" customHeight="1" x14ac:dyDescent="0.25">
      <c r="A98" s="62"/>
      <c r="B98" s="62"/>
      <c r="C98" s="76"/>
      <c r="D98" s="77"/>
      <c r="E98" s="62"/>
      <c r="F98" s="83">
        <f t="shared" si="0"/>
        <v>95</v>
      </c>
      <c r="G98" s="84">
        <f t="shared" si="1"/>
        <v>38985.432714993862</v>
      </c>
      <c r="H98" s="84">
        <f t="shared" si="2"/>
        <v>26190.073431445329</v>
      </c>
      <c r="I98" s="84">
        <f t="shared" si="3"/>
        <v>12795.359283548532</v>
      </c>
      <c r="J98" s="84">
        <f t="shared" si="4"/>
        <v>4813064.3511371268</v>
      </c>
      <c r="K98" s="80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ht="15.75" customHeight="1" x14ac:dyDescent="0.25">
      <c r="A99" s="62"/>
      <c r="B99" s="62"/>
      <c r="C99" s="76"/>
      <c r="D99" s="77"/>
      <c r="E99" s="62"/>
      <c r="F99" s="83">
        <f t="shared" si="0"/>
        <v>96</v>
      </c>
      <c r="G99" s="84">
        <f t="shared" si="1"/>
        <v>38985.432714993862</v>
      </c>
      <c r="H99" s="84">
        <f t="shared" si="2"/>
        <v>26120.765235326104</v>
      </c>
      <c r="I99" s="84">
        <f t="shared" si="3"/>
        <v>12864.667479667758</v>
      </c>
      <c r="J99" s="84">
        <f t="shared" si="4"/>
        <v>4800199.683657459</v>
      </c>
      <c r="K99" s="80"/>
      <c r="L99" s="76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15.75" customHeight="1" x14ac:dyDescent="0.25">
      <c r="A100" s="62"/>
      <c r="B100" s="62"/>
      <c r="C100" s="76"/>
      <c r="D100" s="77"/>
      <c r="E100" s="62"/>
      <c r="F100" s="83">
        <f t="shared" si="0"/>
        <v>97</v>
      </c>
      <c r="G100" s="84">
        <f t="shared" si="1"/>
        <v>38985.432714993862</v>
      </c>
      <c r="H100" s="84">
        <f t="shared" si="2"/>
        <v>26051.081619811241</v>
      </c>
      <c r="I100" s="84">
        <f t="shared" si="3"/>
        <v>12934.351095182621</v>
      </c>
      <c r="J100" s="84">
        <f t="shared" si="4"/>
        <v>4787265.3325622762</v>
      </c>
      <c r="K100" s="80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ht="15.75" customHeight="1" x14ac:dyDescent="0.25">
      <c r="A101" s="62"/>
      <c r="B101" s="62"/>
      <c r="C101" s="76"/>
      <c r="D101" s="77"/>
      <c r="E101" s="62"/>
      <c r="F101" s="83">
        <f t="shared" si="0"/>
        <v>98</v>
      </c>
      <c r="G101" s="84">
        <f t="shared" si="1"/>
        <v>38985.432714993862</v>
      </c>
      <c r="H101" s="84">
        <f t="shared" si="2"/>
        <v>25981.020551378999</v>
      </c>
      <c r="I101" s="84">
        <f t="shared" si="3"/>
        <v>13004.412163614863</v>
      </c>
      <c r="J101" s="84">
        <f t="shared" si="4"/>
        <v>4774260.9203986609</v>
      </c>
      <c r="K101" s="80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15.75" customHeight="1" x14ac:dyDescent="0.25">
      <c r="A102" s="62"/>
      <c r="B102" s="62"/>
      <c r="C102" s="76"/>
      <c r="D102" s="77"/>
      <c r="E102" s="62"/>
      <c r="F102" s="83">
        <f t="shared" si="0"/>
        <v>99</v>
      </c>
      <c r="G102" s="84">
        <f t="shared" si="1"/>
        <v>38985.432714993862</v>
      </c>
      <c r="H102" s="84">
        <f t="shared" si="2"/>
        <v>25910.579985492746</v>
      </c>
      <c r="I102" s="84">
        <f t="shared" si="3"/>
        <v>13074.852729501115</v>
      </c>
      <c r="J102" s="84">
        <f t="shared" si="4"/>
        <v>4761186.0676691597</v>
      </c>
      <c r="K102" s="80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ht="15.75" customHeight="1" x14ac:dyDescent="0.25">
      <c r="A103" s="62"/>
      <c r="B103" s="62"/>
      <c r="C103" s="76"/>
      <c r="D103" s="77"/>
      <c r="E103" s="62"/>
      <c r="F103" s="83">
        <f t="shared" si="0"/>
        <v>100</v>
      </c>
      <c r="G103" s="84">
        <f t="shared" si="1"/>
        <v>38985.432714993862</v>
      </c>
      <c r="H103" s="84">
        <f t="shared" si="2"/>
        <v>25839.757866541284</v>
      </c>
      <c r="I103" s="84">
        <f t="shared" si="3"/>
        <v>13145.674848452578</v>
      </c>
      <c r="J103" s="84">
        <f t="shared" si="4"/>
        <v>4748040.3928207075</v>
      </c>
      <c r="K103" s="80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15.75" customHeight="1" x14ac:dyDescent="0.25">
      <c r="A104" s="62"/>
      <c r="B104" s="62"/>
      <c r="C104" s="76"/>
      <c r="D104" s="77"/>
      <c r="E104" s="62"/>
      <c r="F104" s="83">
        <f t="shared" si="0"/>
        <v>101</v>
      </c>
      <c r="G104" s="84">
        <f t="shared" si="1"/>
        <v>38985.432714993862</v>
      </c>
      <c r="H104" s="84">
        <f t="shared" si="2"/>
        <v>25768.552127778836</v>
      </c>
      <c r="I104" s="84">
        <f t="shared" si="3"/>
        <v>13216.880587215026</v>
      </c>
      <c r="J104" s="84">
        <f t="shared" si="4"/>
        <v>4734823.5122334929</v>
      </c>
      <c r="K104" s="80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ht="15.75" customHeight="1" x14ac:dyDescent="0.25">
      <c r="A105" s="62"/>
      <c r="B105" s="62"/>
      <c r="C105" s="76"/>
      <c r="D105" s="77"/>
      <c r="E105" s="62"/>
      <c r="F105" s="83">
        <f t="shared" si="0"/>
        <v>102</v>
      </c>
      <c r="G105" s="84">
        <f t="shared" si="1"/>
        <v>38985.432714993862</v>
      </c>
      <c r="H105" s="84">
        <f t="shared" si="2"/>
        <v>25696.960691264754</v>
      </c>
      <c r="I105" s="84">
        <f t="shared" si="3"/>
        <v>13288.472023729108</v>
      </c>
      <c r="J105" s="84">
        <f t="shared" si="4"/>
        <v>4721535.0402097637</v>
      </c>
      <c r="K105" s="80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15.75" customHeight="1" x14ac:dyDescent="0.25">
      <c r="A106" s="62"/>
      <c r="B106" s="62"/>
      <c r="C106" s="76"/>
      <c r="D106" s="77"/>
      <c r="E106" s="62"/>
      <c r="F106" s="83">
        <f t="shared" si="0"/>
        <v>103</v>
      </c>
      <c r="G106" s="84">
        <f t="shared" si="1"/>
        <v>38985.432714993862</v>
      </c>
      <c r="H106" s="84">
        <f t="shared" si="2"/>
        <v>25624.981467802889</v>
      </c>
      <c r="I106" s="84">
        <f t="shared" si="3"/>
        <v>13360.451247190973</v>
      </c>
      <c r="J106" s="84">
        <f t="shared" si="4"/>
        <v>4708174.5889625726</v>
      </c>
      <c r="K106" s="80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ht="15.75" customHeight="1" x14ac:dyDescent="0.25">
      <c r="A107" s="62"/>
      <c r="B107" s="62"/>
      <c r="C107" s="76"/>
      <c r="D107" s="77"/>
      <c r="E107" s="62"/>
      <c r="F107" s="83">
        <f t="shared" si="0"/>
        <v>104</v>
      </c>
      <c r="G107" s="84">
        <f t="shared" si="1"/>
        <v>38985.432714993862</v>
      </c>
      <c r="H107" s="84">
        <f t="shared" si="2"/>
        <v>25552.612356880603</v>
      </c>
      <c r="I107" s="84">
        <f t="shared" si="3"/>
        <v>13432.820358113258</v>
      </c>
      <c r="J107" s="84">
        <f t="shared" si="4"/>
        <v>4694741.7686044592</v>
      </c>
      <c r="K107" s="80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15.75" customHeight="1" x14ac:dyDescent="0.25">
      <c r="A108" s="62"/>
      <c r="B108" s="62"/>
      <c r="C108" s="76"/>
      <c r="D108" s="77"/>
      <c r="E108" s="62"/>
      <c r="F108" s="83">
        <f t="shared" si="0"/>
        <v>105</v>
      </c>
      <c r="G108" s="84">
        <f t="shared" si="1"/>
        <v>38985.432714993862</v>
      </c>
      <c r="H108" s="84">
        <f t="shared" si="2"/>
        <v>25479.85124660749</v>
      </c>
      <c r="I108" s="84">
        <f t="shared" si="3"/>
        <v>13505.581468386372</v>
      </c>
      <c r="J108" s="84">
        <f t="shared" si="4"/>
        <v>4681236.1871360727</v>
      </c>
      <c r="K108" s="80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ht="15.75" customHeight="1" x14ac:dyDescent="0.25">
      <c r="A109" s="62"/>
      <c r="B109" s="62"/>
      <c r="C109" s="76"/>
      <c r="D109" s="77"/>
      <c r="E109" s="62"/>
      <c r="F109" s="83">
        <f t="shared" si="0"/>
        <v>106</v>
      </c>
      <c r="G109" s="84">
        <f t="shared" si="1"/>
        <v>38985.432714993862</v>
      </c>
      <c r="H109" s="84">
        <f t="shared" si="2"/>
        <v>25406.696013653727</v>
      </c>
      <c r="I109" s="84">
        <f t="shared" si="3"/>
        <v>13578.736701340134</v>
      </c>
      <c r="J109" s="84">
        <f t="shared" si="4"/>
        <v>4667657.4504347323</v>
      </c>
      <c r="K109" s="80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15.75" customHeight="1" x14ac:dyDescent="0.25">
      <c r="A110" s="62"/>
      <c r="B110" s="62"/>
      <c r="C110" s="76"/>
      <c r="D110" s="77"/>
      <c r="E110" s="62"/>
      <c r="F110" s="83">
        <f t="shared" si="0"/>
        <v>107</v>
      </c>
      <c r="G110" s="84">
        <f t="shared" si="1"/>
        <v>38985.432714993862</v>
      </c>
      <c r="H110" s="84">
        <f t="shared" si="2"/>
        <v>25333.144523188133</v>
      </c>
      <c r="I110" s="84">
        <f t="shared" si="3"/>
        <v>13652.288191805728</v>
      </c>
      <c r="J110" s="84">
        <f t="shared" si="4"/>
        <v>4654005.1622429267</v>
      </c>
      <c r="K110" s="80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ht="15.75" customHeight="1" x14ac:dyDescent="0.25">
      <c r="A111" s="62"/>
      <c r="B111" s="62"/>
      <c r="C111" s="76"/>
      <c r="D111" s="77"/>
      <c r="E111" s="62"/>
      <c r="F111" s="83">
        <f t="shared" si="0"/>
        <v>108</v>
      </c>
      <c r="G111" s="84">
        <f t="shared" si="1"/>
        <v>38985.432714993862</v>
      </c>
      <c r="H111" s="84">
        <f t="shared" si="2"/>
        <v>25259.194628815854</v>
      </c>
      <c r="I111" s="84">
        <f t="shared" si="3"/>
        <v>13726.238086178008</v>
      </c>
      <c r="J111" s="84">
        <f t="shared" si="4"/>
        <v>4640278.9241567487</v>
      </c>
      <c r="K111" s="80"/>
      <c r="L111" s="76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15.75" customHeight="1" x14ac:dyDescent="0.25">
      <c r="A112" s="62"/>
      <c r="B112" s="62"/>
      <c r="C112" s="76"/>
      <c r="D112" s="77"/>
      <c r="E112" s="62"/>
      <c r="F112" s="83">
        <f t="shared" si="0"/>
        <v>109</v>
      </c>
      <c r="G112" s="84">
        <f t="shared" si="1"/>
        <v>38985.432714993862</v>
      </c>
      <c r="H112" s="84">
        <f t="shared" si="2"/>
        <v>25184.844172515721</v>
      </c>
      <c r="I112" s="84">
        <f t="shared" si="3"/>
        <v>13800.588542478141</v>
      </c>
      <c r="J112" s="84">
        <f t="shared" si="4"/>
        <v>4626478.3356142705</v>
      </c>
      <c r="K112" s="80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ht="15.75" customHeight="1" x14ac:dyDescent="0.25">
      <c r="A113" s="62"/>
      <c r="B113" s="62"/>
      <c r="C113" s="76"/>
      <c r="D113" s="77"/>
      <c r="E113" s="62"/>
      <c r="F113" s="83">
        <f t="shared" si="0"/>
        <v>110</v>
      </c>
      <c r="G113" s="84">
        <f t="shared" si="1"/>
        <v>38985.432714993862</v>
      </c>
      <c r="H113" s="84">
        <f t="shared" si="2"/>
        <v>25110.090984577299</v>
      </c>
      <c r="I113" s="84">
        <f t="shared" si="3"/>
        <v>13875.341730416563</v>
      </c>
      <c r="J113" s="84">
        <f t="shared" si="4"/>
        <v>4612602.9938838538</v>
      </c>
      <c r="K113" s="80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15.75" customHeight="1" x14ac:dyDescent="0.25">
      <c r="A114" s="62"/>
      <c r="B114" s="62"/>
      <c r="C114" s="76"/>
      <c r="D114" s="77"/>
      <c r="E114" s="62"/>
      <c r="F114" s="83">
        <f t="shared" si="0"/>
        <v>111</v>
      </c>
      <c r="G114" s="84">
        <f t="shared" si="1"/>
        <v>38985.432714993862</v>
      </c>
      <c r="H114" s="84">
        <f t="shared" si="2"/>
        <v>25034.932883537545</v>
      </c>
      <c r="I114" s="84">
        <f t="shared" si="3"/>
        <v>13950.499831456316</v>
      </c>
      <c r="J114" s="84">
        <f t="shared" si="4"/>
        <v>4598652.4940523971</v>
      </c>
      <c r="K114" s="80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ht="15.75" customHeight="1" x14ac:dyDescent="0.25">
      <c r="A115" s="62"/>
      <c r="B115" s="62"/>
      <c r="C115" s="76"/>
      <c r="D115" s="77"/>
      <c r="E115" s="62"/>
      <c r="F115" s="83">
        <f t="shared" si="0"/>
        <v>112</v>
      </c>
      <c r="G115" s="84">
        <f t="shared" si="1"/>
        <v>38985.432714993862</v>
      </c>
      <c r="H115" s="84">
        <f t="shared" si="2"/>
        <v>24959.367676117152</v>
      </c>
      <c r="I115" s="84">
        <f t="shared" si="3"/>
        <v>14026.06503887671</v>
      </c>
      <c r="J115" s="84">
        <f t="shared" si="4"/>
        <v>4584626.4290135205</v>
      </c>
      <c r="K115" s="80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ht="15.75" customHeight="1" x14ac:dyDescent="0.25">
      <c r="A116" s="62"/>
      <c r="B116" s="62"/>
      <c r="C116" s="76"/>
      <c r="D116" s="77"/>
      <c r="E116" s="62"/>
      <c r="F116" s="83">
        <f t="shared" si="0"/>
        <v>113</v>
      </c>
      <c r="G116" s="84">
        <f t="shared" si="1"/>
        <v>38985.432714993862</v>
      </c>
      <c r="H116" s="84">
        <f t="shared" si="2"/>
        <v>24883.393157156574</v>
      </c>
      <c r="I116" s="84">
        <f t="shared" si="3"/>
        <v>14102.039557837288</v>
      </c>
      <c r="J116" s="84">
        <f t="shared" si="4"/>
        <v>4570524.3894556835</v>
      </c>
      <c r="K116" s="80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ht="15.75" customHeight="1" x14ac:dyDescent="0.25">
      <c r="A117" s="62"/>
      <c r="B117" s="62"/>
      <c r="C117" s="76"/>
      <c r="D117" s="77"/>
      <c r="E117" s="62"/>
      <c r="F117" s="83">
        <f t="shared" si="0"/>
        <v>114</v>
      </c>
      <c r="G117" s="84">
        <f t="shared" si="1"/>
        <v>38985.432714993862</v>
      </c>
      <c r="H117" s="84">
        <f t="shared" si="2"/>
        <v>24807.007109551618</v>
      </c>
      <c r="I117" s="84">
        <f t="shared" si="3"/>
        <v>14178.425605442244</v>
      </c>
      <c r="J117" s="84">
        <f t="shared" si="4"/>
        <v>4556345.9638502412</v>
      </c>
      <c r="K117" s="80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15.75" customHeight="1" x14ac:dyDescent="0.25">
      <c r="A118" s="62"/>
      <c r="B118" s="62"/>
      <c r="C118" s="76"/>
      <c r="D118" s="77"/>
      <c r="E118" s="62"/>
      <c r="F118" s="83">
        <f t="shared" si="0"/>
        <v>115</v>
      </c>
      <c r="G118" s="84">
        <f t="shared" si="1"/>
        <v>38985.432714993862</v>
      </c>
      <c r="H118" s="84">
        <f t="shared" si="2"/>
        <v>24730.207304188807</v>
      </c>
      <c r="I118" s="84">
        <f t="shared" si="3"/>
        <v>14255.225410805055</v>
      </c>
      <c r="J118" s="84">
        <f t="shared" si="4"/>
        <v>4542090.7384394361</v>
      </c>
      <c r="K118" s="80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ht="15.75" customHeight="1" x14ac:dyDescent="0.25">
      <c r="A119" s="62"/>
      <c r="B119" s="62"/>
      <c r="C119" s="76"/>
      <c r="D119" s="77"/>
      <c r="E119" s="62"/>
      <c r="F119" s="83">
        <f t="shared" si="0"/>
        <v>116</v>
      </c>
      <c r="G119" s="84">
        <f t="shared" si="1"/>
        <v>38985.432714993862</v>
      </c>
      <c r="H119" s="84">
        <f t="shared" si="2"/>
        <v>24652.991499880281</v>
      </c>
      <c r="I119" s="84">
        <f t="shared" si="3"/>
        <v>14332.44121511358</v>
      </c>
      <c r="J119" s="84">
        <f t="shared" si="4"/>
        <v>4527758.2972243223</v>
      </c>
      <c r="K119" s="80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15.75" customHeight="1" x14ac:dyDescent="0.25">
      <c r="A120" s="62"/>
      <c r="B120" s="62"/>
      <c r="C120" s="76"/>
      <c r="D120" s="77"/>
      <c r="E120" s="62"/>
      <c r="F120" s="83">
        <f t="shared" si="0"/>
        <v>117</v>
      </c>
      <c r="G120" s="84">
        <f t="shared" si="1"/>
        <v>38985.432714993862</v>
      </c>
      <c r="H120" s="84">
        <f t="shared" si="2"/>
        <v>24575.357443298413</v>
      </c>
      <c r="I120" s="84">
        <f t="shared" si="3"/>
        <v>14410.075271695448</v>
      </c>
      <c r="J120" s="84">
        <f t="shared" si="4"/>
        <v>4513348.2219526265</v>
      </c>
      <c r="K120" s="80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ht="15.75" customHeight="1" x14ac:dyDescent="0.25">
      <c r="A121" s="62"/>
      <c r="B121" s="62"/>
      <c r="C121" s="76"/>
      <c r="D121" s="77"/>
      <c r="E121" s="62"/>
      <c r="F121" s="83">
        <f t="shared" si="0"/>
        <v>118</v>
      </c>
      <c r="G121" s="84">
        <f t="shared" si="1"/>
        <v>38985.432714993862</v>
      </c>
      <c r="H121" s="84">
        <f t="shared" si="2"/>
        <v>24497.302868910061</v>
      </c>
      <c r="I121" s="84">
        <f t="shared" si="3"/>
        <v>14488.129846083801</v>
      </c>
      <c r="J121" s="84">
        <f t="shared" si="4"/>
        <v>4498860.0921065426</v>
      </c>
      <c r="K121" s="80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15.75" customHeight="1" x14ac:dyDescent="0.25">
      <c r="A122" s="62"/>
      <c r="B122" s="62"/>
      <c r="C122" s="76"/>
      <c r="D122" s="77"/>
      <c r="E122" s="62"/>
      <c r="F122" s="83">
        <f t="shared" si="0"/>
        <v>119</v>
      </c>
      <c r="G122" s="84">
        <f t="shared" si="1"/>
        <v>38985.432714993862</v>
      </c>
      <c r="H122" s="84">
        <f t="shared" si="2"/>
        <v>24418.825498910443</v>
      </c>
      <c r="I122" s="84">
        <f t="shared" si="3"/>
        <v>14566.607216083419</v>
      </c>
      <c r="J122" s="84">
        <f t="shared" si="4"/>
        <v>4484293.4848904591</v>
      </c>
      <c r="K122" s="80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ht="15.75" customHeight="1" x14ac:dyDescent="0.25">
      <c r="A123" s="62"/>
      <c r="B123" s="62"/>
      <c r="C123" s="76"/>
      <c r="D123" s="77"/>
      <c r="E123" s="62"/>
      <c r="F123" s="83">
        <f t="shared" si="0"/>
        <v>120</v>
      </c>
      <c r="G123" s="84">
        <f t="shared" si="1"/>
        <v>38985.432714993862</v>
      </c>
      <c r="H123" s="84">
        <f t="shared" si="2"/>
        <v>24339.923043156654</v>
      </c>
      <c r="I123" s="84">
        <f t="shared" si="3"/>
        <v>14645.509671837208</v>
      </c>
      <c r="J123" s="84">
        <f t="shared" si="4"/>
        <v>4469647.975218622</v>
      </c>
      <c r="K123" s="80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15.75" customHeight="1" x14ac:dyDescent="0.25">
      <c r="A124" s="62"/>
      <c r="B124" s="62"/>
      <c r="C124" s="76"/>
      <c r="D124" s="77"/>
      <c r="E124" s="62"/>
      <c r="F124" s="83">
        <f t="shared" si="0"/>
        <v>121</v>
      </c>
      <c r="G124" s="84">
        <f t="shared" si="1"/>
        <v>38985.432714993862</v>
      </c>
      <c r="H124" s="84">
        <f t="shared" si="2"/>
        <v>24260.593199100869</v>
      </c>
      <c r="I124" s="84">
        <f t="shared" si="3"/>
        <v>14724.839515892992</v>
      </c>
      <c r="J124" s="84">
        <f t="shared" si="4"/>
        <v>4454923.1357027292</v>
      </c>
      <c r="K124" s="80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ht="15.75" customHeight="1" x14ac:dyDescent="0.25">
      <c r="A125" s="62"/>
      <c r="B125" s="62"/>
      <c r="C125" s="76"/>
      <c r="D125" s="77"/>
      <c r="E125" s="62"/>
      <c r="F125" s="83">
        <f t="shared" si="0"/>
        <v>122</v>
      </c>
      <c r="G125" s="84">
        <f t="shared" si="1"/>
        <v>38985.432714993862</v>
      </c>
      <c r="H125" s="84">
        <f t="shared" si="2"/>
        <v>24180.833651723118</v>
      </c>
      <c r="I125" s="84">
        <f t="shared" si="3"/>
        <v>14804.599063270743</v>
      </c>
      <c r="J125" s="84">
        <f t="shared" si="4"/>
        <v>4440118.5366394585</v>
      </c>
      <c r="K125" s="80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15.75" customHeight="1" x14ac:dyDescent="0.25">
      <c r="A126" s="62"/>
      <c r="B126" s="62"/>
      <c r="C126" s="76"/>
      <c r="D126" s="77"/>
      <c r="E126" s="62"/>
      <c r="F126" s="83">
        <f t="shared" si="0"/>
        <v>123</v>
      </c>
      <c r="G126" s="84">
        <f t="shared" si="1"/>
        <v>38985.432714993862</v>
      </c>
      <c r="H126" s="84">
        <f t="shared" si="2"/>
        <v>24100.642073463736</v>
      </c>
      <c r="I126" s="84">
        <f t="shared" si="3"/>
        <v>14884.790641530126</v>
      </c>
      <c r="J126" s="84">
        <f t="shared" si="4"/>
        <v>4425233.7459979281</v>
      </c>
      <c r="K126" s="80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ht="15.75" customHeight="1" x14ac:dyDescent="0.25">
      <c r="A127" s="62"/>
      <c r="B127" s="62"/>
      <c r="C127" s="76"/>
      <c r="D127" s="77"/>
      <c r="E127" s="62"/>
      <c r="F127" s="83">
        <f t="shared" si="0"/>
        <v>124</v>
      </c>
      <c r="G127" s="84">
        <f t="shared" si="1"/>
        <v>38985.432714993862</v>
      </c>
      <c r="H127" s="84">
        <f t="shared" si="2"/>
        <v>24020.016124155445</v>
      </c>
      <c r="I127" s="84">
        <f t="shared" si="3"/>
        <v>14965.416590838417</v>
      </c>
      <c r="J127" s="84">
        <f t="shared" si="4"/>
        <v>4410268.3294070894</v>
      </c>
      <c r="K127" s="80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15.75" customHeight="1" x14ac:dyDescent="0.25">
      <c r="A128" s="62"/>
      <c r="B128" s="62"/>
      <c r="C128" s="76"/>
      <c r="D128" s="77"/>
      <c r="E128" s="62"/>
      <c r="F128" s="83">
        <f t="shared" si="0"/>
        <v>125</v>
      </c>
      <c r="G128" s="84">
        <f t="shared" si="1"/>
        <v>38985.432714993862</v>
      </c>
      <c r="H128" s="84">
        <f t="shared" si="2"/>
        <v>23938.953450955069</v>
      </c>
      <c r="I128" s="84">
        <f t="shared" si="3"/>
        <v>15046.479264038793</v>
      </c>
      <c r="J128" s="84">
        <f t="shared" si="4"/>
        <v>4395221.8501430508</v>
      </c>
      <c r="K128" s="80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ht="15.75" customHeight="1" x14ac:dyDescent="0.25">
      <c r="A129" s="62"/>
      <c r="B129" s="62"/>
      <c r="C129" s="76"/>
      <c r="D129" s="77"/>
      <c r="E129" s="62"/>
      <c r="F129" s="83">
        <f t="shared" si="0"/>
        <v>126</v>
      </c>
      <c r="G129" s="84">
        <f t="shared" si="1"/>
        <v>38985.432714993862</v>
      </c>
      <c r="H129" s="84">
        <f t="shared" si="2"/>
        <v>23857.451688274858</v>
      </c>
      <c r="I129" s="84">
        <f t="shared" si="3"/>
        <v>15127.981026719004</v>
      </c>
      <c r="J129" s="84">
        <f t="shared" si="4"/>
        <v>4380093.8691163315</v>
      </c>
      <c r="K129" s="80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15.75" customHeight="1" x14ac:dyDescent="0.25">
      <c r="A130" s="62"/>
      <c r="B130" s="62"/>
      <c r="C130" s="76"/>
      <c r="D130" s="77"/>
      <c r="E130" s="62"/>
      <c r="F130" s="83">
        <f t="shared" si="0"/>
        <v>127</v>
      </c>
      <c r="G130" s="84">
        <f t="shared" si="1"/>
        <v>38985.432714993862</v>
      </c>
      <c r="H130" s="84">
        <f t="shared" si="2"/>
        <v>23775.508457713466</v>
      </c>
      <c r="I130" s="84">
        <f t="shared" si="3"/>
        <v>15209.924257280396</v>
      </c>
      <c r="J130" s="84">
        <f t="shared" si="4"/>
        <v>4364883.9448590511</v>
      </c>
      <c r="K130" s="80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ht="15.75" customHeight="1" x14ac:dyDescent="0.25">
      <c r="A131" s="62"/>
      <c r="B131" s="62"/>
      <c r="C131" s="76"/>
      <c r="D131" s="77"/>
      <c r="E131" s="62"/>
      <c r="F131" s="83">
        <f t="shared" si="0"/>
        <v>128</v>
      </c>
      <c r="G131" s="84">
        <f t="shared" si="1"/>
        <v>38985.432714993862</v>
      </c>
      <c r="H131" s="84">
        <f t="shared" si="2"/>
        <v>23693.121367986529</v>
      </c>
      <c r="I131" s="84">
        <f t="shared" si="3"/>
        <v>15292.311347007333</v>
      </c>
      <c r="J131" s="84">
        <f t="shared" si="4"/>
        <v>4349591.6335120434</v>
      </c>
      <c r="K131" s="80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15.75" customHeight="1" x14ac:dyDescent="0.25">
      <c r="A132" s="62"/>
      <c r="B132" s="62"/>
      <c r="C132" s="76"/>
      <c r="D132" s="77"/>
      <c r="E132" s="62"/>
      <c r="F132" s="83">
        <f t="shared" si="0"/>
        <v>129</v>
      </c>
      <c r="G132" s="84">
        <f t="shared" si="1"/>
        <v>38985.432714993862</v>
      </c>
      <c r="H132" s="84">
        <f t="shared" si="2"/>
        <v>23610.288014856906</v>
      </c>
      <c r="I132" s="84">
        <f t="shared" si="3"/>
        <v>15375.144700136956</v>
      </c>
      <c r="J132" s="84">
        <f t="shared" si="4"/>
        <v>4334216.4888119064</v>
      </c>
      <c r="K132" s="80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ht="15.75" customHeight="1" x14ac:dyDescent="0.25">
      <c r="A133" s="62"/>
      <c r="B133" s="62"/>
      <c r="C133" s="76"/>
      <c r="D133" s="77"/>
      <c r="E133" s="62"/>
      <c r="F133" s="83">
        <f t="shared" si="0"/>
        <v>130</v>
      </c>
      <c r="G133" s="84">
        <f t="shared" si="1"/>
        <v>38985.432714993862</v>
      </c>
      <c r="H133" s="84">
        <f t="shared" si="2"/>
        <v>23527.005981064493</v>
      </c>
      <c r="I133" s="84">
        <f t="shared" si="3"/>
        <v>15458.426733929369</v>
      </c>
      <c r="J133" s="84">
        <f t="shared" si="4"/>
        <v>4318758.0620779768</v>
      </c>
      <c r="K133" s="80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ht="15.75" customHeight="1" x14ac:dyDescent="0.25">
      <c r="A134" s="62"/>
      <c r="B134" s="62"/>
      <c r="C134" s="76"/>
      <c r="D134" s="77"/>
      <c r="E134" s="62"/>
      <c r="F134" s="83">
        <f t="shared" si="0"/>
        <v>131</v>
      </c>
      <c r="G134" s="84">
        <f t="shared" si="1"/>
        <v>38985.432714993862</v>
      </c>
      <c r="H134" s="84">
        <f t="shared" si="2"/>
        <v>23443.27283625571</v>
      </c>
      <c r="I134" s="84">
        <f t="shared" si="3"/>
        <v>15542.159878738152</v>
      </c>
      <c r="J134" s="84">
        <f t="shared" si="4"/>
        <v>4303215.9021992385</v>
      </c>
      <c r="K134" s="80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ht="15.75" customHeight="1" x14ac:dyDescent="0.25">
      <c r="A135" s="62"/>
      <c r="B135" s="62"/>
      <c r="C135" s="76"/>
      <c r="D135" s="77"/>
      <c r="E135" s="62"/>
      <c r="F135" s="83">
        <f t="shared" si="0"/>
        <v>132</v>
      </c>
      <c r="G135" s="84">
        <f t="shared" si="1"/>
        <v>38985.432714993862</v>
      </c>
      <c r="H135" s="84">
        <f t="shared" si="2"/>
        <v>23359.086136912545</v>
      </c>
      <c r="I135" s="84">
        <f t="shared" si="3"/>
        <v>15626.346578081317</v>
      </c>
      <c r="J135" s="84">
        <f t="shared" si="4"/>
        <v>4287589.5556211574</v>
      </c>
      <c r="K135" s="80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15.75" customHeight="1" x14ac:dyDescent="0.25">
      <c r="A136" s="62"/>
      <c r="B136" s="62"/>
      <c r="C136" s="76"/>
      <c r="D136" s="77"/>
      <c r="E136" s="62"/>
      <c r="F136" s="83">
        <f t="shared" si="0"/>
        <v>133</v>
      </c>
      <c r="G136" s="84">
        <f t="shared" si="1"/>
        <v>38985.432714993862</v>
      </c>
      <c r="H136" s="84">
        <f t="shared" si="2"/>
        <v>23274.443426281272</v>
      </c>
      <c r="I136" s="84">
        <f t="shared" si="3"/>
        <v>15710.98928871259</v>
      </c>
      <c r="J136" s="84">
        <f t="shared" si="4"/>
        <v>4271878.5663324445</v>
      </c>
      <c r="K136" s="80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ht="15.75" customHeight="1" x14ac:dyDescent="0.25">
      <c r="A137" s="62"/>
      <c r="B137" s="62"/>
      <c r="C137" s="76"/>
      <c r="D137" s="77"/>
      <c r="E137" s="62"/>
      <c r="F137" s="83">
        <f t="shared" si="0"/>
        <v>134</v>
      </c>
      <c r="G137" s="84">
        <f t="shared" si="1"/>
        <v>38985.432714993862</v>
      </c>
      <c r="H137" s="84">
        <f t="shared" si="2"/>
        <v>23189.342234300741</v>
      </c>
      <c r="I137" s="84">
        <f t="shared" si="3"/>
        <v>15796.090480693121</v>
      </c>
      <c r="J137" s="84">
        <f t="shared" si="4"/>
        <v>4256082.4758517519</v>
      </c>
      <c r="K137" s="80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15.75" customHeight="1" x14ac:dyDescent="0.25">
      <c r="A138" s="62"/>
      <c r="B138" s="62"/>
      <c r="C138" s="76"/>
      <c r="D138" s="77"/>
      <c r="E138" s="62"/>
      <c r="F138" s="83">
        <f t="shared" si="0"/>
        <v>135</v>
      </c>
      <c r="G138" s="84">
        <f t="shared" si="1"/>
        <v>38985.432714993862</v>
      </c>
      <c r="H138" s="84">
        <f t="shared" si="2"/>
        <v>23103.780077530322</v>
      </c>
      <c r="I138" s="84">
        <f t="shared" si="3"/>
        <v>15881.65263746354</v>
      </c>
      <c r="J138" s="84">
        <f t="shared" si="4"/>
        <v>4240200.8232142879</v>
      </c>
      <c r="K138" s="80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ht="15.75" customHeight="1" x14ac:dyDescent="0.25">
      <c r="A139" s="62"/>
      <c r="B139" s="62"/>
      <c r="C139" s="76"/>
      <c r="D139" s="77"/>
      <c r="E139" s="62"/>
      <c r="F139" s="83">
        <f t="shared" si="0"/>
        <v>136</v>
      </c>
      <c r="G139" s="84">
        <f t="shared" si="1"/>
        <v>38985.432714993862</v>
      </c>
      <c r="H139" s="84">
        <f t="shared" si="2"/>
        <v>23017.754459077394</v>
      </c>
      <c r="I139" s="84">
        <f t="shared" si="3"/>
        <v>15967.678255916468</v>
      </c>
      <c r="J139" s="84">
        <f t="shared" si="4"/>
        <v>4224233.1449583713</v>
      </c>
      <c r="K139" s="80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15.75" customHeight="1" x14ac:dyDescent="0.25">
      <c r="A140" s="62"/>
      <c r="B140" s="62"/>
      <c r="C140" s="76"/>
      <c r="D140" s="77"/>
      <c r="E140" s="62"/>
      <c r="F140" s="83">
        <f t="shared" si="0"/>
        <v>137</v>
      </c>
      <c r="G140" s="84">
        <f t="shared" si="1"/>
        <v>38985.432714993862</v>
      </c>
      <c r="H140" s="84">
        <f t="shared" si="2"/>
        <v>22931.262868524511</v>
      </c>
      <c r="I140" s="84">
        <f t="shared" si="3"/>
        <v>16054.169846469351</v>
      </c>
      <c r="J140" s="84">
        <f t="shared" si="4"/>
        <v>4208178.9751119018</v>
      </c>
      <c r="K140" s="80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ht="15.75" customHeight="1" x14ac:dyDescent="0.25">
      <c r="A141" s="62"/>
      <c r="B141" s="62"/>
      <c r="C141" s="76"/>
      <c r="D141" s="77"/>
      <c r="E141" s="62"/>
      <c r="F141" s="83">
        <f t="shared" si="0"/>
        <v>138</v>
      </c>
      <c r="G141" s="84">
        <f t="shared" si="1"/>
        <v>38985.432714993862</v>
      </c>
      <c r="H141" s="84">
        <f t="shared" si="2"/>
        <v>22844.302781856135</v>
      </c>
      <c r="I141" s="84">
        <f t="shared" si="3"/>
        <v>16141.129933137727</v>
      </c>
      <c r="J141" s="84">
        <f t="shared" si="4"/>
        <v>4192037.8451787638</v>
      </c>
      <c r="K141" s="80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15.75" customHeight="1" x14ac:dyDescent="0.25">
      <c r="A142" s="62"/>
      <c r="B142" s="62"/>
      <c r="C142" s="76"/>
      <c r="D142" s="77"/>
      <c r="E142" s="62"/>
      <c r="F142" s="83">
        <f t="shared" si="0"/>
        <v>139</v>
      </c>
      <c r="G142" s="84">
        <f t="shared" si="1"/>
        <v>38985.432714993862</v>
      </c>
      <c r="H142" s="84">
        <f t="shared" si="2"/>
        <v>22756.871661384972</v>
      </c>
      <c r="I142" s="84">
        <f t="shared" si="3"/>
        <v>16228.56105360889</v>
      </c>
      <c r="J142" s="84">
        <f t="shared" si="4"/>
        <v>4175809.2841251548</v>
      </c>
      <c r="K142" s="80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ht="15.75" customHeight="1" x14ac:dyDescent="0.25">
      <c r="A143" s="62"/>
      <c r="B143" s="62"/>
      <c r="C143" s="76"/>
      <c r="D143" s="77"/>
      <c r="E143" s="62"/>
      <c r="F143" s="83">
        <f t="shared" si="0"/>
        <v>140</v>
      </c>
      <c r="G143" s="84">
        <f t="shared" si="1"/>
        <v>38985.432714993862</v>
      </c>
      <c r="H143" s="84">
        <f t="shared" si="2"/>
        <v>22668.966955677923</v>
      </c>
      <c r="I143" s="84">
        <f t="shared" si="3"/>
        <v>16316.465759315939</v>
      </c>
      <c r="J143" s="84">
        <f t="shared" si="4"/>
        <v>4159492.8183658388</v>
      </c>
      <c r="K143" s="80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15.75" customHeight="1" x14ac:dyDescent="0.25">
      <c r="A144" s="62"/>
      <c r="B144" s="62"/>
      <c r="C144" s="76"/>
      <c r="D144" s="77"/>
      <c r="E144" s="62"/>
      <c r="F144" s="83">
        <f t="shared" si="0"/>
        <v>141</v>
      </c>
      <c r="G144" s="84">
        <f t="shared" si="1"/>
        <v>38985.432714993862</v>
      </c>
      <c r="H144" s="84">
        <f t="shared" si="2"/>
        <v>22580.586099481628</v>
      </c>
      <c r="I144" s="84">
        <f t="shared" si="3"/>
        <v>16404.846615512233</v>
      </c>
      <c r="J144" s="84">
        <f t="shared" si="4"/>
        <v>4143087.9717503265</v>
      </c>
      <c r="K144" s="80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ht="15.75" customHeight="1" x14ac:dyDescent="0.25">
      <c r="A145" s="62"/>
      <c r="B145" s="62"/>
      <c r="C145" s="76"/>
      <c r="D145" s="77"/>
      <c r="E145" s="62"/>
      <c r="F145" s="83">
        <f t="shared" si="0"/>
        <v>142</v>
      </c>
      <c r="G145" s="84">
        <f t="shared" si="1"/>
        <v>38985.432714993862</v>
      </c>
      <c r="H145" s="84">
        <f t="shared" si="2"/>
        <v>22491.726513647602</v>
      </c>
      <c r="I145" s="84">
        <f t="shared" si="3"/>
        <v>16493.70620134626</v>
      </c>
      <c r="J145" s="84">
        <f t="shared" si="4"/>
        <v>4126594.2655489803</v>
      </c>
      <c r="K145" s="80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5.75" customHeight="1" x14ac:dyDescent="0.25">
      <c r="A146" s="62"/>
      <c r="B146" s="62"/>
      <c r="C146" s="76"/>
      <c r="D146" s="77"/>
      <c r="E146" s="62"/>
      <c r="F146" s="83">
        <f t="shared" si="0"/>
        <v>143</v>
      </c>
      <c r="G146" s="84">
        <f t="shared" si="1"/>
        <v>38985.432714993862</v>
      </c>
      <c r="H146" s="84">
        <f t="shared" si="2"/>
        <v>22402.385605056978</v>
      </c>
      <c r="I146" s="84">
        <f t="shared" si="3"/>
        <v>16583.047109936884</v>
      </c>
      <c r="J146" s="84">
        <f t="shared" si="4"/>
        <v>4110011.2184390435</v>
      </c>
      <c r="K146" s="80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ht="15.75" customHeight="1" x14ac:dyDescent="0.25">
      <c r="A147" s="62"/>
      <c r="B147" s="62"/>
      <c r="C147" s="76"/>
      <c r="D147" s="77"/>
      <c r="E147" s="62"/>
      <c r="F147" s="83">
        <f t="shared" si="0"/>
        <v>144</v>
      </c>
      <c r="G147" s="84">
        <f t="shared" si="1"/>
        <v>38985.432714993862</v>
      </c>
      <c r="H147" s="84">
        <f t="shared" si="2"/>
        <v>22312.560766544819</v>
      </c>
      <c r="I147" s="84">
        <f t="shared" si="3"/>
        <v>16672.871948449043</v>
      </c>
      <c r="J147" s="84">
        <f t="shared" si="4"/>
        <v>4093338.3464905946</v>
      </c>
      <c r="K147" s="80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5.75" customHeight="1" x14ac:dyDescent="0.25">
      <c r="A148" s="62"/>
      <c r="B148" s="62"/>
      <c r="C148" s="76"/>
      <c r="D148" s="77"/>
      <c r="E148" s="62"/>
      <c r="F148" s="83">
        <f t="shared" si="0"/>
        <v>145</v>
      </c>
      <c r="G148" s="84">
        <f t="shared" si="1"/>
        <v>38985.432714993862</v>
      </c>
      <c r="H148" s="84">
        <f t="shared" si="2"/>
        <v>22222.249376824053</v>
      </c>
      <c r="I148" s="84">
        <f t="shared" si="3"/>
        <v>16763.183338169809</v>
      </c>
      <c r="J148" s="84">
        <f t="shared" si="4"/>
        <v>4076575.1631524246</v>
      </c>
      <c r="K148" s="80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ht="15.75" customHeight="1" x14ac:dyDescent="0.25">
      <c r="A149" s="62"/>
      <c r="B149" s="62"/>
      <c r="C149" s="76"/>
      <c r="D149" s="77"/>
      <c r="E149" s="62"/>
      <c r="F149" s="83">
        <f t="shared" si="0"/>
        <v>146</v>
      </c>
      <c r="G149" s="84">
        <f t="shared" si="1"/>
        <v>38985.432714993862</v>
      </c>
      <c r="H149" s="84">
        <f t="shared" si="2"/>
        <v>22131.448800408965</v>
      </c>
      <c r="I149" s="84">
        <f t="shared" si="3"/>
        <v>16853.983914584896</v>
      </c>
      <c r="J149" s="84">
        <f t="shared" si="4"/>
        <v>4059721.1792378398</v>
      </c>
      <c r="K149" s="80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5.75" customHeight="1" x14ac:dyDescent="0.25">
      <c r="A150" s="62"/>
      <c r="B150" s="62"/>
      <c r="C150" s="76"/>
      <c r="D150" s="77"/>
      <c r="E150" s="62"/>
      <c r="F150" s="83">
        <f t="shared" si="0"/>
        <v>147</v>
      </c>
      <c r="G150" s="84">
        <f t="shared" si="1"/>
        <v>38985.432714993862</v>
      </c>
      <c r="H150" s="84">
        <f t="shared" si="2"/>
        <v>22040.1563875383</v>
      </c>
      <c r="I150" s="84">
        <f t="shared" si="3"/>
        <v>16945.276327455562</v>
      </c>
      <c r="J150" s="84">
        <f t="shared" si="4"/>
        <v>4042775.9029103843</v>
      </c>
      <c r="K150" s="80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ht="15.75" customHeight="1" x14ac:dyDescent="0.25">
      <c r="A151" s="62"/>
      <c r="B151" s="62"/>
      <c r="C151" s="76"/>
      <c r="D151" s="77"/>
      <c r="E151" s="62"/>
      <c r="F151" s="83">
        <f t="shared" si="0"/>
        <v>148</v>
      </c>
      <c r="G151" s="84">
        <f t="shared" si="1"/>
        <v>38985.432714993862</v>
      </c>
      <c r="H151" s="84">
        <f t="shared" si="2"/>
        <v>21948.369474097915</v>
      </c>
      <c r="I151" s="84">
        <f t="shared" si="3"/>
        <v>17037.063240895946</v>
      </c>
      <c r="J151" s="84">
        <f t="shared" si="4"/>
        <v>4025738.8396694884</v>
      </c>
      <c r="K151" s="80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ht="15.75" customHeight="1" x14ac:dyDescent="0.25">
      <c r="A152" s="62"/>
      <c r="B152" s="62"/>
      <c r="C152" s="76"/>
      <c r="D152" s="77"/>
      <c r="E152" s="62"/>
      <c r="F152" s="83">
        <f t="shared" si="0"/>
        <v>149</v>
      </c>
      <c r="G152" s="84">
        <f t="shared" si="1"/>
        <v>38985.432714993862</v>
      </c>
      <c r="H152" s="84">
        <f t="shared" si="2"/>
        <v>21856.085381543064</v>
      </c>
      <c r="I152" s="84">
        <f t="shared" si="3"/>
        <v>17129.347333450798</v>
      </c>
      <c r="J152" s="84">
        <f t="shared" si="4"/>
        <v>4008609.4923360376</v>
      </c>
      <c r="K152" s="80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ht="15.75" customHeight="1" x14ac:dyDescent="0.25">
      <c r="A153" s="62"/>
      <c r="B153" s="62"/>
      <c r="C153" s="76"/>
      <c r="D153" s="77"/>
      <c r="E153" s="62"/>
      <c r="F153" s="83">
        <f t="shared" si="0"/>
        <v>150</v>
      </c>
      <c r="G153" s="84">
        <f t="shared" si="1"/>
        <v>38985.432714993862</v>
      </c>
      <c r="H153" s="84">
        <f t="shared" si="2"/>
        <v>21763.301416820203</v>
      </c>
      <c r="I153" s="84">
        <f t="shared" si="3"/>
        <v>17222.131298173659</v>
      </c>
      <c r="J153" s="84">
        <f t="shared" si="4"/>
        <v>3991387.3610378639</v>
      </c>
      <c r="K153" s="80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5.75" customHeight="1" x14ac:dyDescent="0.25">
      <c r="A154" s="62"/>
      <c r="B154" s="62"/>
      <c r="C154" s="76"/>
      <c r="D154" s="77"/>
      <c r="E154" s="62"/>
      <c r="F154" s="83">
        <f t="shared" si="0"/>
        <v>151</v>
      </c>
      <c r="G154" s="84">
        <f t="shared" si="1"/>
        <v>38985.432714993862</v>
      </c>
      <c r="H154" s="84">
        <f t="shared" si="2"/>
        <v>21670.01487228843</v>
      </c>
      <c r="I154" s="84">
        <f t="shared" si="3"/>
        <v>17315.417842705432</v>
      </c>
      <c r="J154" s="84">
        <f t="shared" si="4"/>
        <v>3974071.9431951586</v>
      </c>
      <c r="K154" s="80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ht="15.75" customHeight="1" x14ac:dyDescent="0.25">
      <c r="A155" s="62"/>
      <c r="B155" s="62"/>
      <c r="C155" s="76"/>
      <c r="D155" s="77"/>
      <c r="E155" s="62"/>
      <c r="F155" s="83">
        <f t="shared" si="0"/>
        <v>152</v>
      </c>
      <c r="G155" s="84">
        <f t="shared" si="1"/>
        <v>38985.432714993862</v>
      </c>
      <c r="H155" s="84">
        <f t="shared" si="2"/>
        <v>21576.223025640444</v>
      </c>
      <c r="I155" s="84">
        <f t="shared" si="3"/>
        <v>17409.209689353418</v>
      </c>
      <c r="J155" s="84">
        <f t="shared" si="4"/>
        <v>3956662.733505805</v>
      </c>
      <c r="K155" s="80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5.75" customHeight="1" x14ac:dyDescent="0.25">
      <c r="A156" s="62"/>
      <c r="B156" s="62"/>
      <c r="C156" s="76"/>
      <c r="D156" s="77"/>
      <c r="E156" s="62"/>
      <c r="F156" s="83">
        <f t="shared" si="0"/>
        <v>153</v>
      </c>
      <c r="G156" s="84">
        <f t="shared" si="1"/>
        <v>38985.432714993862</v>
      </c>
      <c r="H156" s="84">
        <f t="shared" si="2"/>
        <v>21481.92313982311</v>
      </c>
      <c r="I156" s="84">
        <f t="shared" si="3"/>
        <v>17503.509575170752</v>
      </c>
      <c r="J156" s="84">
        <f t="shared" si="4"/>
        <v>3939159.2239306341</v>
      </c>
      <c r="K156" s="80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ht="15.75" customHeight="1" x14ac:dyDescent="0.25">
      <c r="A157" s="62"/>
      <c r="B157" s="62"/>
      <c r="C157" s="76"/>
      <c r="D157" s="77"/>
      <c r="E157" s="62"/>
      <c r="F157" s="83">
        <f t="shared" si="0"/>
        <v>154</v>
      </c>
      <c r="G157" s="84">
        <f t="shared" si="1"/>
        <v>38985.432714993862</v>
      </c>
      <c r="H157" s="84">
        <f t="shared" si="2"/>
        <v>21387.112462957604</v>
      </c>
      <c r="I157" s="84">
        <f t="shared" si="3"/>
        <v>17598.320252036257</v>
      </c>
      <c r="J157" s="84">
        <f t="shared" si="4"/>
        <v>3921560.9036785979</v>
      </c>
      <c r="K157" s="80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5.75" customHeight="1" x14ac:dyDescent="0.25">
      <c r="A158" s="62"/>
      <c r="B158" s="62"/>
      <c r="C158" s="76"/>
      <c r="D158" s="77"/>
      <c r="E158" s="62"/>
      <c r="F158" s="83">
        <f t="shared" si="0"/>
        <v>155</v>
      </c>
      <c r="G158" s="84">
        <f t="shared" si="1"/>
        <v>38985.432714993862</v>
      </c>
      <c r="H158" s="84">
        <f t="shared" si="2"/>
        <v>21291.788228259073</v>
      </c>
      <c r="I158" s="84">
        <f t="shared" si="3"/>
        <v>17693.644486734789</v>
      </c>
      <c r="J158" s="84">
        <f t="shared" si="4"/>
        <v>3903867.2591918632</v>
      </c>
      <c r="K158" s="80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ht="15.75" customHeight="1" x14ac:dyDescent="0.25">
      <c r="A159" s="62"/>
      <c r="B159" s="62"/>
      <c r="C159" s="76"/>
      <c r="D159" s="77"/>
      <c r="E159" s="62"/>
      <c r="F159" s="83">
        <f t="shared" si="0"/>
        <v>156</v>
      </c>
      <c r="G159" s="84">
        <f t="shared" si="1"/>
        <v>38985.432714993862</v>
      </c>
      <c r="H159" s="84">
        <f t="shared" si="2"/>
        <v>21195.947653955925</v>
      </c>
      <c r="I159" s="84">
        <f t="shared" si="3"/>
        <v>17789.485061037936</v>
      </c>
      <c r="J159" s="84">
        <f t="shared" si="4"/>
        <v>3886077.7741308254</v>
      </c>
      <c r="K159" s="80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5.75" customHeight="1" x14ac:dyDescent="0.25">
      <c r="A160" s="62"/>
      <c r="B160" s="62"/>
      <c r="C160" s="76"/>
      <c r="D160" s="77"/>
      <c r="E160" s="62"/>
      <c r="F160" s="83">
        <f t="shared" si="0"/>
        <v>157</v>
      </c>
      <c r="G160" s="84">
        <f t="shared" si="1"/>
        <v>38985.432714993862</v>
      </c>
      <c r="H160" s="84">
        <f t="shared" si="2"/>
        <v>21099.58794320864</v>
      </c>
      <c r="I160" s="84">
        <f t="shared" si="3"/>
        <v>17885.844771785221</v>
      </c>
      <c r="J160" s="84">
        <f t="shared" si="4"/>
        <v>3868191.9293590402</v>
      </c>
      <c r="K160" s="80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ht="15.75" customHeight="1" x14ac:dyDescent="0.25">
      <c r="A161" s="62"/>
      <c r="B161" s="62"/>
      <c r="C161" s="76"/>
      <c r="D161" s="77"/>
      <c r="E161" s="62"/>
      <c r="F161" s="83">
        <f t="shared" si="0"/>
        <v>158</v>
      </c>
      <c r="G161" s="84">
        <f t="shared" si="1"/>
        <v>38985.432714993862</v>
      </c>
      <c r="H161" s="84">
        <f t="shared" si="2"/>
        <v>21002.706284028136</v>
      </c>
      <c r="I161" s="84">
        <f t="shared" si="3"/>
        <v>17982.726430965726</v>
      </c>
      <c r="J161" s="84">
        <f t="shared" si="4"/>
        <v>3850209.2029280746</v>
      </c>
      <c r="K161" s="80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5.75" customHeight="1" x14ac:dyDescent="0.25">
      <c r="A162" s="62"/>
      <c r="B162" s="62"/>
      <c r="C162" s="76"/>
      <c r="D162" s="77"/>
      <c r="E162" s="62"/>
      <c r="F162" s="83">
        <f t="shared" si="0"/>
        <v>159</v>
      </c>
      <c r="G162" s="84">
        <f t="shared" si="1"/>
        <v>38985.432714993862</v>
      </c>
      <c r="H162" s="84">
        <f t="shared" si="2"/>
        <v>20905.299849193736</v>
      </c>
      <c r="I162" s="84">
        <f t="shared" si="3"/>
        <v>18080.132865800126</v>
      </c>
      <c r="J162" s="84">
        <f t="shared" si="4"/>
        <v>3832129.0700622746</v>
      </c>
      <c r="K162" s="80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ht="15.75" customHeight="1" x14ac:dyDescent="0.25">
      <c r="A163" s="62"/>
      <c r="B163" s="62"/>
      <c r="C163" s="76"/>
      <c r="D163" s="77"/>
      <c r="E163" s="62"/>
      <c r="F163" s="83">
        <f t="shared" si="0"/>
        <v>160</v>
      </c>
      <c r="G163" s="84">
        <f t="shared" si="1"/>
        <v>38985.432714993862</v>
      </c>
      <c r="H163" s="84">
        <f t="shared" si="2"/>
        <v>20807.365796170656</v>
      </c>
      <c r="I163" s="84">
        <f t="shared" si="3"/>
        <v>18178.066918823206</v>
      </c>
      <c r="J163" s="84">
        <f t="shared" si="4"/>
        <v>3813951.0031434512</v>
      </c>
      <c r="K163" s="80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5.75" customHeight="1" x14ac:dyDescent="0.25">
      <c r="A164" s="62"/>
      <c r="B164" s="62"/>
      <c r="C164" s="76"/>
      <c r="D164" s="77"/>
      <c r="E164" s="62"/>
      <c r="F164" s="83">
        <f t="shared" si="0"/>
        <v>161</v>
      </c>
      <c r="G164" s="84">
        <f t="shared" si="1"/>
        <v>38985.432714993862</v>
      </c>
      <c r="H164" s="84">
        <f t="shared" si="2"/>
        <v>20708.901267027028</v>
      </c>
      <c r="I164" s="84">
        <f t="shared" si="3"/>
        <v>18276.531447966834</v>
      </c>
      <c r="J164" s="84">
        <f t="shared" si="4"/>
        <v>3795674.4716954841</v>
      </c>
      <c r="K164" s="80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ht="15.75" customHeight="1" x14ac:dyDescent="0.25">
      <c r="A165" s="62"/>
      <c r="B165" s="62"/>
      <c r="C165" s="76"/>
      <c r="D165" s="77"/>
      <c r="E165" s="62"/>
      <c r="F165" s="83">
        <f t="shared" si="0"/>
        <v>162</v>
      </c>
      <c r="G165" s="84">
        <f t="shared" si="1"/>
        <v>38985.432714993862</v>
      </c>
      <c r="H165" s="84">
        <f t="shared" si="2"/>
        <v>20609.90338835054</v>
      </c>
      <c r="I165" s="84">
        <f t="shared" si="3"/>
        <v>18375.529326643322</v>
      </c>
      <c r="J165" s="84">
        <f t="shared" si="4"/>
        <v>3777298.9423688408</v>
      </c>
      <c r="K165" s="80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5.75" customHeight="1" x14ac:dyDescent="0.25">
      <c r="A166" s="62"/>
      <c r="B166" s="62"/>
      <c r="C166" s="76"/>
      <c r="D166" s="77"/>
      <c r="E166" s="62"/>
      <c r="F166" s="83">
        <f t="shared" si="0"/>
        <v>163</v>
      </c>
      <c r="G166" s="84">
        <f t="shared" si="1"/>
        <v>38985.432714993862</v>
      </c>
      <c r="H166" s="84">
        <f t="shared" si="2"/>
        <v>20510.369271164553</v>
      </c>
      <c r="I166" s="84">
        <f t="shared" si="3"/>
        <v>18475.063443829309</v>
      </c>
      <c r="J166" s="84">
        <f t="shared" si="4"/>
        <v>3758823.8789250115</v>
      </c>
      <c r="K166" s="80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ht="15.75" customHeight="1" x14ac:dyDescent="0.25">
      <c r="A167" s="62"/>
      <c r="B167" s="62"/>
      <c r="C167" s="76"/>
      <c r="D167" s="77"/>
      <c r="E167" s="62"/>
      <c r="F167" s="83">
        <f t="shared" si="0"/>
        <v>164</v>
      </c>
      <c r="G167" s="84">
        <f t="shared" si="1"/>
        <v>38985.432714993862</v>
      </c>
      <c r="H167" s="84">
        <f t="shared" si="2"/>
        <v>20410.296010843813</v>
      </c>
      <c r="I167" s="84">
        <f t="shared" si="3"/>
        <v>18575.136704150049</v>
      </c>
      <c r="J167" s="84">
        <f t="shared" si="4"/>
        <v>3740248.7422208614</v>
      </c>
      <c r="K167" s="80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ht="15.75" customHeight="1" x14ac:dyDescent="0.25">
      <c r="A168" s="62"/>
      <c r="B168" s="62"/>
      <c r="C168" s="76"/>
      <c r="D168" s="77"/>
      <c r="E168" s="62"/>
      <c r="F168" s="83">
        <f t="shared" si="0"/>
        <v>165</v>
      </c>
      <c r="G168" s="84">
        <f t="shared" si="1"/>
        <v>38985.432714993862</v>
      </c>
      <c r="H168" s="84">
        <f t="shared" si="2"/>
        <v>20309.680687029668</v>
      </c>
      <c r="I168" s="84">
        <f t="shared" si="3"/>
        <v>18675.752027964194</v>
      </c>
      <c r="J168" s="84">
        <f t="shared" si="4"/>
        <v>3721572.9901928972</v>
      </c>
      <c r="K168" s="80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ht="15.75" customHeight="1" x14ac:dyDescent="0.25">
      <c r="A169" s="62"/>
      <c r="B169" s="62"/>
      <c r="C169" s="76"/>
      <c r="D169" s="77"/>
      <c r="E169" s="62"/>
      <c r="F169" s="83">
        <f t="shared" si="0"/>
        <v>166</v>
      </c>
      <c r="G169" s="84">
        <f t="shared" si="1"/>
        <v>38985.432714993862</v>
      </c>
      <c r="H169" s="84">
        <f t="shared" si="2"/>
        <v>20208.52036354486</v>
      </c>
      <c r="I169" s="84">
        <f t="shared" si="3"/>
        <v>18776.912351449002</v>
      </c>
      <c r="J169" s="84">
        <f t="shared" si="4"/>
        <v>3702796.0778414481</v>
      </c>
      <c r="K169" s="80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ht="15.75" customHeight="1" x14ac:dyDescent="0.25">
      <c r="A170" s="62"/>
      <c r="B170" s="62"/>
      <c r="C170" s="76"/>
      <c r="D170" s="77"/>
      <c r="E170" s="62"/>
      <c r="F170" s="83">
        <f t="shared" si="0"/>
        <v>167</v>
      </c>
      <c r="G170" s="84">
        <f t="shared" si="1"/>
        <v>38985.432714993862</v>
      </c>
      <c r="H170" s="84">
        <f t="shared" si="2"/>
        <v>20106.812088307845</v>
      </c>
      <c r="I170" s="84">
        <f t="shared" si="3"/>
        <v>18878.620626686017</v>
      </c>
      <c r="J170" s="84">
        <f t="shared" si="4"/>
        <v>3683917.457214762</v>
      </c>
      <c r="K170" s="80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ht="15.75" customHeight="1" x14ac:dyDescent="0.25">
      <c r="A171" s="62"/>
      <c r="B171" s="62"/>
      <c r="C171" s="76"/>
      <c r="D171" s="77"/>
      <c r="E171" s="62"/>
      <c r="F171" s="83">
        <f t="shared" si="0"/>
        <v>168</v>
      </c>
      <c r="G171" s="84">
        <f t="shared" si="1"/>
        <v>38985.432714993862</v>
      </c>
      <c r="H171" s="84">
        <f t="shared" si="2"/>
        <v>20004.55289324663</v>
      </c>
      <c r="I171" s="84">
        <f t="shared" si="3"/>
        <v>18980.879821747232</v>
      </c>
      <c r="J171" s="84">
        <f t="shared" si="4"/>
        <v>3664936.5773930149</v>
      </c>
      <c r="K171" s="80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ht="15.75" customHeight="1" x14ac:dyDescent="0.25">
      <c r="A172" s="62"/>
      <c r="B172" s="62"/>
      <c r="C172" s="76"/>
      <c r="D172" s="77"/>
      <c r="E172" s="62"/>
      <c r="F172" s="83">
        <f t="shared" si="0"/>
        <v>169</v>
      </c>
      <c r="G172" s="84">
        <f t="shared" si="1"/>
        <v>38985.432714993862</v>
      </c>
      <c r="H172" s="84">
        <f t="shared" si="2"/>
        <v>19901.739794212164</v>
      </c>
      <c r="I172" s="84">
        <f t="shared" si="3"/>
        <v>19083.692920781697</v>
      </c>
      <c r="J172" s="84">
        <f t="shared" si="4"/>
        <v>3645852.8844722332</v>
      </c>
      <c r="K172" s="80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ht="15.75" customHeight="1" x14ac:dyDescent="0.25">
      <c r="A173" s="62"/>
      <c r="B173" s="62"/>
      <c r="C173" s="76"/>
      <c r="D173" s="77"/>
      <c r="E173" s="62"/>
      <c r="F173" s="83">
        <f t="shared" si="0"/>
        <v>170</v>
      </c>
      <c r="G173" s="84">
        <f t="shared" si="1"/>
        <v>38985.432714993862</v>
      </c>
      <c r="H173" s="84">
        <f t="shared" si="2"/>
        <v>19798.369790891262</v>
      </c>
      <c r="I173" s="84">
        <f t="shared" si="3"/>
        <v>19187.0629241026</v>
      </c>
      <c r="J173" s="84">
        <f t="shared" si="4"/>
        <v>3626665.8215481308</v>
      </c>
      <c r="K173" s="80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ht="15.75" customHeight="1" x14ac:dyDescent="0.25">
      <c r="A174" s="62"/>
      <c r="B174" s="62"/>
      <c r="C174" s="76"/>
      <c r="D174" s="77"/>
      <c r="E174" s="62"/>
      <c r="F174" s="83">
        <f t="shared" si="0"/>
        <v>171</v>
      </c>
      <c r="G174" s="84">
        <f t="shared" si="1"/>
        <v>38985.432714993862</v>
      </c>
      <c r="H174" s="84">
        <f t="shared" si="2"/>
        <v>19694.439866719043</v>
      </c>
      <c r="I174" s="84">
        <f t="shared" si="3"/>
        <v>19290.992848274818</v>
      </c>
      <c r="J174" s="84">
        <f t="shared" si="4"/>
        <v>3607374.8286998561</v>
      </c>
      <c r="K174" s="80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ht="15.75" customHeight="1" x14ac:dyDescent="0.25">
      <c r="A175" s="62"/>
      <c r="B175" s="62"/>
      <c r="C175" s="76"/>
      <c r="D175" s="77"/>
      <c r="E175" s="62"/>
      <c r="F175" s="83">
        <f t="shared" si="0"/>
        <v>172</v>
      </c>
      <c r="G175" s="84">
        <f t="shared" si="1"/>
        <v>38985.432714993862</v>
      </c>
      <c r="H175" s="84">
        <f t="shared" si="2"/>
        <v>19589.946988790889</v>
      </c>
      <c r="I175" s="84">
        <f t="shared" si="3"/>
        <v>19395.485726202973</v>
      </c>
      <c r="J175" s="84">
        <f t="shared" si="4"/>
        <v>3587979.3429736532</v>
      </c>
      <c r="K175" s="80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ht="15.75" customHeight="1" x14ac:dyDescent="0.25">
      <c r="A176" s="62"/>
      <c r="B176" s="62"/>
      <c r="C176" s="76"/>
      <c r="D176" s="77"/>
      <c r="E176" s="62"/>
      <c r="F176" s="83">
        <f t="shared" si="0"/>
        <v>173</v>
      </c>
      <c r="G176" s="84">
        <f t="shared" si="1"/>
        <v>38985.432714993862</v>
      </c>
      <c r="H176" s="84">
        <f t="shared" si="2"/>
        <v>19484.888107773953</v>
      </c>
      <c r="I176" s="84">
        <f t="shared" si="3"/>
        <v>19500.544607219908</v>
      </c>
      <c r="J176" s="84">
        <f t="shared" si="4"/>
        <v>3568478.7983664335</v>
      </c>
      <c r="K176" s="80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ht="15.75" customHeight="1" x14ac:dyDescent="0.25">
      <c r="A177" s="62"/>
      <c r="B177" s="62"/>
      <c r="C177" s="76"/>
      <c r="D177" s="77"/>
      <c r="E177" s="62"/>
      <c r="F177" s="83">
        <f t="shared" si="0"/>
        <v>174</v>
      </c>
      <c r="G177" s="84">
        <f t="shared" si="1"/>
        <v>38985.432714993862</v>
      </c>
      <c r="H177" s="84">
        <f t="shared" si="2"/>
        <v>19379.260157818182</v>
      </c>
      <c r="I177" s="84">
        <f t="shared" si="3"/>
        <v>19606.17255717568</v>
      </c>
      <c r="J177" s="84">
        <f t="shared" si="4"/>
        <v>3548872.6258092579</v>
      </c>
      <c r="K177" s="80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ht="15.75" customHeight="1" x14ac:dyDescent="0.25">
      <c r="A178" s="62"/>
      <c r="B178" s="62"/>
      <c r="C178" s="76"/>
      <c r="D178" s="77"/>
      <c r="E178" s="62"/>
      <c r="F178" s="83">
        <f t="shared" si="0"/>
        <v>175</v>
      </c>
      <c r="G178" s="84">
        <f t="shared" si="1"/>
        <v>38985.432714993862</v>
      </c>
      <c r="H178" s="84">
        <f t="shared" si="2"/>
        <v>19273.060056466813</v>
      </c>
      <c r="I178" s="84">
        <f t="shared" si="3"/>
        <v>19712.372658527049</v>
      </c>
      <c r="J178" s="84">
        <f t="shared" si="4"/>
        <v>3529160.2531507309</v>
      </c>
      <c r="K178" s="80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ht="15.75" customHeight="1" x14ac:dyDescent="0.25">
      <c r="A179" s="62"/>
      <c r="B179" s="62"/>
      <c r="C179" s="76"/>
      <c r="D179" s="77"/>
      <c r="E179" s="62"/>
      <c r="F179" s="83">
        <f t="shared" si="0"/>
        <v>176</v>
      </c>
      <c r="G179" s="84">
        <f t="shared" si="1"/>
        <v>38985.432714993862</v>
      </c>
      <c r="H179" s="84">
        <f t="shared" si="2"/>
        <v>19166.28470456646</v>
      </c>
      <c r="I179" s="84">
        <f t="shared" si="3"/>
        <v>19819.148010427401</v>
      </c>
      <c r="J179" s="84">
        <f t="shared" si="4"/>
        <v>3509341.1051403033</v>
      </c>
      <c r="K179" s="80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ht="15.75" customHeight="1" x14ac:dyDescent="0.25">
      <c r="A180" s="62"/>
      <c r="B180" s="62"/>
      <c r="C180" s="76"/>
      <c r="D180" s="77"/>
      <c r="E180" s="62"/>
      <c r="F180" s="83">
        <f t="shared" si="0"/>
        <v>177</v>
      </c>
      <c r="G180" s="84">
        <f t="shared" si="1"/>
        <v>38985.432714993862</v>
      </c>
      <c r="H180" s="84">
        <f t="shared" si="2"/>
        <v>19058.930986176641</v>
      </c>
      <c r="I180" s="84">
        <f t="shared" si="3"/>
        <v>19926.50172881722</v>
      </c>
      <c r="J180" s="84">
        <f t="shared" si="4"/>
        <v>3489414.6034114859</v>
      </c>
      <c r="K180" s="80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ht="15.75" customHeight="1" x14ac:dyDescent="0.25">
      <c r="A181" s="62"/>
      <c r="B181" s="62"/>
      <c r="C181" s="76"/>
      <c r="D181" s="77"/>
      <c r="E181" s="62"/>
      <c r="F181" s="83">
        <f t="shared" si="0"/>
        <v>178</v>
      </c>
      <c r="G181" s="84">
        <f t="shared" si="1"/>
        <v>38985.432714993862</v>
      </c>
      <c r="H181" s="84">
        <f t="shared" si="2"/>
        <v>18950.995768478882</v>
      </c>
      <c r="I181" s="84">
        <f t="shared" si="3"/>
        <v>20034.436946514979</v>
      </c>
      <c r="J181" s="84">
        <f t="shared" si="4"/>
        <v>3469380.1664649709</v>
      </c>
      <c r="K181" s="80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ht="15.75" customHeight="1" x14ac:dyDescent="0.25">
      <c r="A182" s="62"/>
      <c r="B182" s="62"/>
      <c r="C182" s="76"/>
      <c r="D182" s="77"/>
      <c r="E182" s="62"/>
      <c r="F182" s="83">
        <f t="shared" si="0"/>
        <v>179</v>
      </c>
      <c r="G182" s="84">
        <f t="shared" si="1"/>
        <v>38985.432714993862</v>
      </c>
      <c r="H182" s="84">
        <f t="shared" si="2"/>
        <v>18842.475901685259</v>
      </c>
      <c r="I182" s="84">
        <f t="shared" si="3"/>
        <v>20142.956813308603</v>
      </c>
      <c r="J182" s="84">
        <f t="shared" si="4"/>
        <v>3449237.2096516625</v>
      </c>
      <c r="K182" s="80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ht="15.75" customHeight="1" x14ac:dyDescent="0.25">
      <c r="A183" s="62"/>
      <c r="B183" s="62"/>
      <c r="C183" s="76"/>
      <c r="D183" s="77"/>
      <c r="E183" s="62"/>
      <c r="F183" s="83">
        <f t="shared" si="0"/>
        <v>180</v>
      </c>
      <c r="G183" s="84">
        <f t="shared" si="1"/>
        <v>38985.432714993862</v>
      </c>
      <c r="H183" s="84">
        <f t="shared" si="2"/>
        <v>18733.368218946507</v>
      </c>
      <c r="I183" s="84">
        <f t="shared" si="3"/>
        <v>20252.064496047355</v>
      </c>
      <c r="J183" s="84">
        <f t="shared" si="4"/>
        <v>3428985.1451556152</v>
      </c>
      <c r="K183" s="80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ht="15.75" customHeight="1" x14ac:dyDescent="0.25">
      <c r="A184" s="62"/>
      <c r="B184" s="62"/>
      <c r="C184" s="76"/>
      <c r="D184" s="77"/>
      <c r="E184" s="62"/>
      <c r="F184" s="83">
        <f t="shared" si="0"/>
        <v>181</v>
      </c>
      <c r="G184" s="84">
        <f t="shared" si="1"/>
        <v>38985.432714993862</v>
      </c>
      <c r="H184" s="84">
        <f t="shared" si="2"/>
        <v>18623.669536259582</v>
      </c>
      <c r="I184" s="84">
        <f t="shared" si="3"/>
        <v>20361.76317873428</v>
      </c>
      <c r="J184" s="84">
        <f t="shared" si="4"/>
        <v>3408623.3819768811</v>
      </c>
      <c r="K184" s="80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ht="15.75" customHeight="1" x14ac:dyDescent="0.25">
      <c r="A185" s="62"/>
      <c r="B185" s="62"/>
      <c r="C185" s="76"/>
      <c r="D185" s="77"/>
      <c r="E185" s="62"/>
      <c r="F185" s="83">
        <f t="shared" si="0"/>
        <v>182</v>
      </c>
      <c r="G185" s="84">
        <f t="shared" si="1"/>
        <v>38985.432714993862</v>
      </c>
      <c r="H185" s="84">
        <f t="shared" si="2"/>
        <v>18513.376652374773</v>
      </c>
      <c r="I185" s="84">
        <f t="shared" si="3"/>
        <v>20472.056062619089</v>
      </c>
      <c r="J185" s="84">
        <f t="shared" si="4"/>
        <v>3388151.3259142619</v>
      </c>
      <c r="K185" s="80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ht="15.75" customHeight="1" x14ac:dyDescent="0.25">
      <c r="A186" s="62"/>
      <c r="B186" s="62"/>
      <c r="C186" s="76"/>
      <c r="D186" s="77"/>
      <c r="E186" s="62"/>
      <c r="F186" s="83">
        <f t="shared" si="0"/>
        <v>183</v>
      </c>
      <c r="G186" s="84">
        <f t="shared" si="1"/>
        <v>38985.432714993862</v>
      </c>
      <c r="H186" s="84">
        <f t="shared" si="2"/>
        <v>18402.486348702252</v>
      </c>
      <c r="I186" s="84">
        <f t="shared" si="3"/>
        <v>20582.94636629161</v>
      </c>
      <c r="J186" s="84">
        <f t="shared" si="4"/>
        <v>3367568.3795479704</v>
      </c>
      <c r="K186" s="80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ht="15.75" customHeight="1" x14ac:dyDescent="0.25">
      <c r="A187" s="62"/>
      <c r="B187" s="62"/>
      <c r="C187" s="76"/>
      <c r="D187" s="77"/>
      <c r="E187" s="62"/>
      <c r="F187" s="83">
        <f t="shared" si="0"/>
        <v>184</v>
      </c>
      <c r="G187" s="84">
        <f t="shared" si="1"/>
        <v>38985.432714993862</v>
      </c>
      <c r="H187" s="84">
        <f t="shared" si="2"/>
        <v>18290.995389218173</v>
      </c>
      <c r="I187" s="84">
        <f t="shared" si="3"/>
        <v>20694.437325775689</v>
      </c>
      <c r="J187" s="84">
        <f t="shared" si="4"/>
        <v>3346873.9422221947</v>
      </c>
      <c r="K187" s="80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ht="15.75" customHeight="1" x14ac:dyDescent="0.25">
      <c r="A188" s="62"/>
      <c r="B188" s="62"/>
      <c r="C188" s="76"/>
      <c r="D188" s="77"/>
      <c r="E188" s="62"/>
      <c r="F188" s="83">
        <f t="shared" si="0"/>
        <v>185</v>
      </c>
      <c r="G188" s="84">
        <f t="shared" si="1"/>
        <v>38985.432714993862</v>
      </c>
      <c r="H188" s="84">
        <f t="shared" si="2"/>
        <v>18178.900520370222</v>
      </c>
      <c r="I188" s="84">
        <f t="shared" si="3"/>
        <v>20806.53219462364</v>
      </c>
      <c r="J188" s="84">
        <f t="shared" si="4"/>
        <v>3326067.410027571</v>
      </c>
      <c r="K188" s="80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ht="15.75" customHeight="1" x14ac:dyDescent="0.25">
      <c r="A189" s="62"/>
      <c r="B189" s="62"/>
      <c r="C189" s="76"/>
      <c r="D189" s="77"/>
      <c r="E189" s="62"/>
      <c r="F189" s="83">
        <f t="shared" si="0"/>
        <v>186</v>
      </c>
      <c r="G189" s="84">
        <f t="shared" si="1"/>
        <v>38985.432714993862</v>
      </c>
      <c r="H189" s="84">
        <f t="shared" si="2"/>
        <v>18066.198470982676</v>
      </c>
      <c r="I189" s="84">
        <f t="shared" si="3"/>
        <v>20919.234244011186</v>
      </c>
      <c r="J189" s="84">
        <f t="shared" si="4"/>
        <v>3305148.1757835597</v>
      </c>
      <c r="K189" s="80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ht="15.75" customHeight="1" x14ac:dyDescent="0.25">
      <c r="A190" s="62"/>
      <c r="B190" s="62"/>
      <c r="C190" s="76"/>
      <c r="D190" s="77"/>
      <c r="E190" s="62"/>
      <c r="F190" s="83">
        <f t="shared" si="0"/>
        <v>187</v>
      </c>
      <c r="G190" s="84">
        <f t="shared" si="1"/>
        <v>38985.432714993862</v>
      </c>
      <c r="H190" s="84">
        <f t="shared" si="2"/>
        <v>17952.885952160948</v>
      </c>
      <c r="I190" s="84">
        <f t="shared" si="3"/>
        <v>21032.546762832913</v>
      </c>
      <c r="J190" s="84">
        <f t="shared" si="4"/>
        <v>3284115.6290207268</v>
      </c>
      <c r="K190" s="80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ht="15.75" customHeight="1" x14ac:dyDescent="0.25">
      <c r="A191" s="62"/>
      <c r="B191" s="62"/>
      <c r="C191" s="76"/>
      <c r="D191" s="77"/>
      <c r="E191" s="62"/>
      <c r="F191" s="83">
        <f t="shared" si="0"/>
        <v>188</v>
      </c>
      <c r="G191" s="84">
        <f t="shared" si="1"/>
        <v>38985.432714993862</v>
      </c>
      <c r="H191" s="84">
        <f t="shared" si="2"/>
        <v>17838.959657195603</v>
      </c>
      <c r="I191" s="84">
        <f t="shared" si="3"/>
        <v>21146.473057798259</v>
      </c>
      <c r="J191" s="84">
        <f t="shared" si="4"/>
        <v>3262969.1559629287</v>
      </c>
      <c r="K191" s="80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ht="15.75" customHeight="1" x14ac:dyDescent="0.25">
      <c r="A192" s="62"/>
      <c r="B192" s="62"/>
      <c r="C192" s="76"/>
      <c r="D192" s="77"/>
      <c r="E192" s="62"/>
      <c r="F192" s="83">
        <f t="shared" si="0"/>
        <v>189</v>
      </c>
      <c r="G192" s="84">
        <f t="shared" si="1"/>
        <v>38985.432714993862</v>
      </c>
      <c r="H192" s="84">
        <f t="shared" si="2"/>
        <v>17724.416261465863</v>
      </c>
      <c r="I192" s="84">
        <f t="shared" si="3"/>
        <v>21261.016453527998</v>
      </c>
      <c r="J192" s="84">
        <f t="shared" si="4"/>
        <v>3241708.1395094008</v>
      </c>
      <c r="K192" s="80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ht="15.75" customHeight="1" x14ac:dyDescent="0.25">
      <c r="A193" s="62"/>
      <c r="B193" s="62"/>
      <c r="C193" s="76"/>
      <c r="D193" s="77"/>
      <c r="E193" s="62"/>
      <c r="F193" s="83">
        <f t="shared" si="0"/>
        <v>190</v>
      </c>
      <c r="G193" s="84">
        <f t="shared" si="1"/>
        <v>38985.432714993862</v>
      </c>
      <c r="H193" s="84">
        <f t="shared" si="2"/>
        <v>17609.25242234259</v>
      </c>
      <c r="I193" s="84">
        <f t="shared" si="3"/>
        <v>21376.180292651272</v>
      </c>
      <c r="J193" s="84">
        <f t="shared" si="4"/>
        <v>3220331.9592167498</v>
      </c>
      <c r="K193" s="80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ht="15.75" customHeight="1" x14ac:dyDescent="0.25">
      <c r="A194" s="62"/>
      <c r="B194" s="62"/>
      <c r="C194" s="76"/>
      <c r="D194" s="77"/>
      <c r="E194" s="62"/>
      <c r="F194" s="83">
        <f t="shared" si="0"/>
        <v>191</v>
      </c>
      <c r="G194" s="84">
        <f t="shared" si="1"/>
        <v>38985.432714993862</v>
      </c>
      <c r="H194" s="84">
        <f t="shared" si="2"/>
        <v>17493.464779090729</v>
      </c>
      <c r="I194" s="84">
        <f t="shared" si="3"/>
        <v>21491.967935903132</v>
      </c>
      <c r="J194" s="84">
        <f t="shared" si="4"/>
        <v>3198839.9912808468</v>
      </c>
      <c r="K194" s="80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ht="15.75" customHeight="1" x14ac:dyDescent="0.25">
      <c r="A195" s="62"/>
      <c r="B195" s="62"/>
      <c r="C195" s="76"/>
      <c r="D195" s="77"/>
      <c r="E195" s="62"/>
      <c r="F195" s="83">
        <f t="shared" si="0"/>
        <v>192</v>
      </c>
      <c r="G195" s="84">
        <f t="shared" si="1"/>
        <v>38985.432714993862</v>
      </c>
      <c r="H195" s="84">
        <f t="shared" si="2"/>
        <v>17377.049952771253</v>
      </c>
      <c r="I195" s="84">
        <f t="shared" si="3"/>
        <v>21608.382762222609</v>
      </c>
      <c r="J195" s="84">
        <f t="shared" si="4"/>
        <v>3177231.6085186242</v>
      </c>
      <c r="K195" s="80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ht="15.75" customHeight="1" x14ac:dyDescent="0.25">
      <c r="A196" s="62"/>
      <c r="B196" s="62"/>
      <c r="C196" s="76"/>
      <c r="D196" s="77"/>
      <c r="E196" s="62"/>
      <c r="F196" s="83">
        <f t="shared" si="0"/>
        <v>193</v>
      </c>
      <c r="G196" s="84">
        <f t="shared" si="1"/>
        <v>38985.432714993862</v>
      </c>
      <c r="H196" s="84">
        <f t="shared" si="2"/>
        <v>17260.004546142551</v>
      </c>
      <c r="I196" s="84">
        <f t="shared" si="3"/>
        <v>21725.428168851311</v>
      </c>
      <c r="J196" s="84">
        <f t="shared" si="4"/>
        <v>3155506.1803497728</v>
      </c>
      <c r="K196" s="80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ht="15.75" customHeight="1" x14ac:dyDescent="0.25">
      <c r="A197" s="62"/>
      <c r="B197" s="62"/>
      <c r="C197" s="76"/>
      <c r="D197" s="77"/>
      <c r="E197" s="62"/>
      <c r="F197" s="83">
        <f t="shared" si="0"/>
        <v>194</v>
      </c>
      <c r="G197" s="84">
        <f t="shared" si="1"/>
        <v>38985.432714993862</v>
      </c>
      <c r="H197" s="84">
        <f t="shared" si="2"/>
        <v>17142.325143561269</v>
      </c>
      <c r="I197" s="84">
        <f t="shared" si="3"/>
        <v>21843.107571432593</v>
      </c>
      <c r="J197" s="84">
        <f t="shared" si="4"/>
        <v>3133663.0727783404</v>
      </c>
      <c r="K197" s="80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ht="15.75" customHeight="1" x14ac:dyDescent="0.25">
      <c r="A198" s="62"/>
      <c r="B198" s="62"/>
      <c r="C198" s="76"/>
      <c r="D198" s="77"/>
      <c r="E198" s="62"/>
      <c r="F198" s="83">
        <f t="shared" si="0"/>
        <v>195</v>
      </c>
      <c r="G198" s="84">
        <f t="shared" si="1"/>
        <v>38985.432714993862</v>
      </c>
      <c r="H198" s="84">
        <f t="shared" si="2"/>
        <v>17024.008310882677</v>
      </c>
      <c r="I198" s="84">
        <f t="shared" si="3"/>
        <v>21961.424404111185</v>
      </c>
      <c r="J198" s="84">
        <f t="shared" si="4"/>
        <v>3111701.6483742292</v>
      </c>
      <c r="K198" s="80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ht="15.75" customHeight="1" x14ac:dyDescent="0.25">
      <c r="A199" s="62"/>
      <c r="B199" s="62"/>
      <c r="C199" s="76"/>
      <c r="D199" s="77"/>
      <c r="E199" s="62"/>
      <c r="F199" s="83">
        <f t="shared" si="0"/>
        <v>196</v>
      </c>
      <c r="G199" s="84">
        <f t="shared" si="1"/>
        <v>38985.432714993862</v>
      </c>
      <c r="H199" s="84">
        <f t="shared" si="2"/>
        <v>16905.050595360408</v>
      </c>
      <c r="I199" s="84">
        <f t="shared" si="3"/>
        <v>22080.382119633454</v>
      </c>
      <c r="J199" s="84">
        <f t="shared" si="4"/>
        <v>3089621.2662545959</v>
      </c>
      <c r="K199" s="80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ht="15.75" customHeight="1" x14ac:dyDescent="0.25">
      <c r="A200" s="62"/>
      <c r="B200" s="62"/>
      <c r="C200" s="76"/>
      <c r="D200" s="77"/>
      <c r="E200" s="62"/>
      <c r="F200" s="83">
        <f t="shared" si="0"/>
        <v>197</v>
      </c>
      <c r="G200" s="84">
        <f t="shared" si="1"/>
        <v>38985.432714993862</v>
      </c>
      <c r="H200" s="84">
        <f t="shared" si="2"/>
        <v>16785.448525545729</v>
      </c>
      <c r="I200" s="84">
        <f t="shared" si="3"/>
        <v>22199.984189448132</v>
      </c>
      <c r="J200" s="84">
        <f t="shared" si="4"/>
        <v>3067421.282065148</v>
      </c>
      <c r="K200" s="80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ht="15.75" customHeight="1" x14ac:dyDescent="0.25">
      <c r="A201" s="62"/>
      <c r="B201" s="62"/>
      <c r="C201" s="76"/>
      <c r="D201" s="77"/>
      <c r="E201" s="62"/>
      <c r="F201" s="83">
        <f t="shared" si="0"/>
        <v>198</v>
      </c>
      <c r="G201" s="84">
        <f t="shared" si="1"/>
        <v>38985.432714993862</v>
      </c>
      <c r="H201" s="84">
        <f t="shared" si="2"/>
        <v>16665.198611186217</v>
      </c>
      <c r="I201" s="84">
        <f t="shared" si="3"/>
        <v>22320.234103807645</v>
      </c>
      <c r="J201" s="84">
        <f t="shared" si="4"/>
        <v>3045101.0479613403</v>
      </c>
      <c r="K201" s="80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ht="15.75" customHeight="1" x14ac:dyDescent="0.25">
      <c r="A202" s="62"/>
      <c r="B202" s="62"/>
      <c r="C202" s="76"/>
      <c r="D202" s="77"/>
      <c r="E202" s="62"/>
      <c r="F202" s="83">
        <f t="shared" si="0"/>
        <v>199</v>
      </c>
      <c r="G202" s="84">
        <f t="shared" si="1"/>
        <v>38985.432714993862</v>
      </c>
      <c r="H202" s="84">
        <f t="shared" si="2"/>
        <v>16544.297343123926</v>
      </c>
      <c r="I202" s="84">
        <f t="shared" si="3"/>
        <v>22441.135371869936</v>
      </c>
      <c r="J202" s="84">
        <f t="shared" si="4"/>
        <v>3022659.9125894704</v>
      </c>
      <c r="K202" s="80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ht="15.75" customHeight="1" x14ac:dyDescent="0.25">
      <c r="A203" s="62"/>
      <c r="B203" s="62"/>
      <c r="C203" s="76"/>
      <c r="D203" s="77"/>
      <c r="E203" s="62"/>
      <c r="F203" s="83">
        <f t="shared" si="0"/>
        <v>200</v>
      </c>
      <c r="G203" s="84">
        <f t="shared" si="1"/>
        <v>38985.432714993862</v>
      </c>
      <c r="H203" s="84">
        <f t="shared" si="2"/>
        <v>16422.741193192967</v>
      </c>
      <c r="I203" s="84">
        <f t="shared" si="3"/>
        <v>22562.691521800894</v>
      </c>
      <c r="J203" s="84">
        <f t="shared" si="4"/>
        <v>3000097.2210676693</v>
      </c>
      <c r="K203" s="80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ht="15.75" customHeight="1" x14ac:dyDescent="0.25">
      <c r="A204" s="62"/>
      <c r="B204" s="62"/>
      <c r="C204" s="76"/>
      <c r="D204" s="77"/>
      <c r="E204" s="62"/>
      <c r="F204" s="83">
        <f t="shared" si="0"/>
        <v>201</v>
      </c>
      <c r="G204" s="84">
        <f t="shared" si="1"/>
        <v>38985.432714993862</v>
      </c>
      <c r="H204" s="84">
        <f t="shared" si="2"/>
        <v>16300.526614116543</v>
      </c>
      <c r="I204" s="84">
        <f t="shared" si="3"/>
        <v>22684.906100877321</v>
      </c>
      <c r="J204" s="84">
        <f t="shared" si="4"/>
        <v>2977412.3149667922</v>
      </c>
      <c r="K204" s="80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ht="15.75" customHeight="1" x14ac:dyDescent="0.25">
      <c r="A205" s="62"/>
      <c r="B205" s="62"/>
      <c r="C205" s="76"/>
      <c r="D205" s="77"/>
      <c r="E205" s="62"/>
      <c r="F205" s="83">
        <f t="shared" si="0"/>
        <v>202</v>
      </c>
      <c r="G205" s="84">
        <f t="shared" si="1"/>
        <v>38985.432714993862</v>
      </c>
      <c r="H205" s="84">
        <f t="shared" si="2"/>
        <v>16177.650039403459</v>
      </c>
      <c r="I205" s="84">
        <f t="shared" si="3"/>
        <v>22807.782675590403</v>
      </c>
      <c r="J205" s="84">
        <f t="shared" si="4"/>
        <v>2954604.5322912019</v>
      </c>
      <c r="K205" s="80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ht="15.75" customHeight="1" x14ac:dyDescent="0.25">
      <c r="A206" s="62"/>
      <c r="B206" s="62"/>
      <c r="C206" s="76"/>
      <c r="D206" s="77"/>
      <c r="E206" s="62"/>
      <c r="F206" s="83">
        <f t="shared" si="0"/>
        <v>203</v>
      </c>
      <c r="G206" s="84">
        <f t="shared" si="1"/>
        <v>38985.432714993862</v>
      </c>
      <c r="H206" s="84">
        <f t="shared" si="2"/>
        <v>16054.107883244011</v>
      </c>
      <c r="I206" s="84">
        <f t="shared" si="3"/>
        <v>22931.324831749851</v>
      </c>
      <c r="J206" s="84">
        <f t="shared" si="4"/>
        <v>2931673.2074594521</v>
      </c>
      <c r="K206" s="80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ht="15.75" customHeight="1" x14ac:dyDescent="0.25">
      <c r="A207" s="62"/>
      <c r="B207" s="62"/>
      <c r="C207" s="76"/>
      <c r="D207" s="77"/>
      <c r="E207" s="62"/>
      <c r="F207" s="83">
        <f t="shared" si="0"/>
        <v>204</v>
      </c>
      <c r="G207" s="84">
        <f t="shared" si="1"/>
        <v>38985.432714993862</v>
      </c>
      <c r="H207" s="84">
        <f t="shared" si="2"/>
        <v>15929.896540405367</v>
      </c>
      <c r="I207" s="84">
        <f t="shared" si="3"/>
        <v>23055.536174588495</v>
      </c>
      <c r="J207" s="84">
        <f t="shared" si="4"/>
        <v>2908617.6712848637</v>
      </c>
      <c r="K207" s="80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ht="15.75" customHeight="1" x14ac:dyDescent="0.25">
      <c r="A208" s="62"/>
      <c r="B208" s="62"/>
      <c r="C208" s="76"/>
      <c r="D208" s="77"/>
      <c r="E208" s="62"/>
      <c r="F208" s="83">
        <f t="shared" si="0"/>
        <v>205</v>
      </c>
      <c r="G208" s="84">
        <f t="shared" si="1"/>
        <v>38985.432714993862</v>
      </c>
      <c r="H208" s="84">
        <f t="shared" si="2"/>
        <v>15805.012386126347</v>
      </c>
      <c r="I208" s="84">
        <f t="shared" si="3"/>
        <v>23180.420328867513</v>
      </c>
      <c r="J208" s="84">
        <f t="shared" si="4"/>
        <v>2885437.2509559961</v>
      </c>
      <c r="K208" s="80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ht="15.75" customHeight="1" x14ac:dyDescent="0.25">
      <c r="A209" s="62"/>
      <c r="B209" s="62"/>
      <c r="C209" s="76"/>
      <c r="D209" s="77"/>
      <c r="E209" s="62"/>
      <c r="F209" s="83">
        <f t="shared" si="0"/>
        <v>206</v>
      </c>
      <c r="G209" s="84">
        <f t="shared" si="1"/>
        <v>38985.432714993862</v>
      </c>
      <c r="H209" s="84">
        <f t="shared" si="2"/>
        <v>15679.451776011645</v>
      </c>
      <c r="I209" s="84">
        <f t="shared" si="3"/>
        <v>23305.980938982219</v>
      </c>
      <c r="J209" s="84">
        <f t="shared" si="4"/>
        <v>2862131.2700170139</v>
      </c>
      <c r="K209" s="80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ht="15.75" customHeight="1" x14ac:dyDescent="0.25">
      <c r="A210" s="62"/>
      <c r="B210" s="62"/>
      <c r="C210" s="76"/>
      <c r="D210" s="77"/>
      <c r="E210" s="62"/>
      <c r="F210" s="83">
        <f t="shared" si="0"/>
        <v>207</v>
      </c>
      <c r="G210" s="84">
        <f t="shared" si="1"/>
        <v>38985.432714993862</v>
      </c>
      <c r="H210" s="84">
        <f t="shared" si="2"/>
        <v>15553.211045925493</v>
      </c>
      <c r="I210" s="84">
        <f t="shared" si="3"/>
        <v>23432.221669068371</v>
      </c>
      <c r="J210" s="84">
        <f t="shared" si="4"/>
        <v>2838699.0483479453</v>
      </c>
      <c r="K210" s="80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ht="15.75" customHeight="1" x14ac:dyDescent="0.25">
      <c r="A211" s="62"/>
      <c r="B211" s="62"/>
      <c r="C211" s="76"/>
      <c r="D211" s="77"/>
      <c r="E211" s="62"/>
      <c r="F211" s="83">
        <f t="shared" si="0"/>
        <v>208</v>
      </c>
      <c r="G211" s="84">
        <f t="shared" si="1"/>
        <v>38985.432714993862</v>
      </c>
      <c r="H211" s="84">
        <f t="shared" si="2"/>
        <v>15426.286511884704</v>
      </c>
      <c r="I211" s="84">
        <f t="shared" si="3"/>
        <v>23559.146203109158</v>
      </c>
      <c r="J211" s="84">
        <f t="shared" si="4"/>
        <v>2815139.9021448363</v>
      </c>
      <c r="K211" s="80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ht="15.75" customHeight="1" x14ac:dyDescent="0.25">
      <c r="A212" s="62"/>
      <c r="B212" s="62"/>
      <c r="C212" s="76"/>
      <c r="D212" s="77"/>
      <c r="E212" s="62"/>
      <c r="F212" s="83">
        <f t="shared" si="0"/>
        <v>209</v>
      </c>
      <c r="G212" s="84">
        <f t="shared" si="1"/>
        <v>38985.432714993862</v>
      </c>
      <c r="H212" s="84">
        <f t="shared" si="2"/>
        <v>15298.674469951196</v>
      </c>
      <c r="I212" s="84">
        <f t="shared" si="3"/>
        <v>23686.758245042663</v>
      </c>
      <c r="J212" s="84">
        <f t="shared" si="4"/>
        <v>2791453.1438997937</v>
      </c>
      <c r="K212" s="80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ht="15.75" customHeight="1" x14ac:dyDescent="0.25">
      <c r="A213" s="62"/>
      <c r="B213" s="62"/>
      <c r="C213" s="76"/>
      <c r="D213" s="77"/>
      <c r="E213" s="62"/>
      <c r="F213" s="83">
        <f t="shared" si="0"/>
        <v>210</v>
      </c>
      <c r="G213" s="84">
        <f t="shared" si="1"/>
        <v>38985.432714993862</v>
      </c>
      <c r="H213" s="84">
        <f t="shared" si="2"/>
        <v>15170.371196123882</v>
      </c>
      <c r="I213" s="84">
        <f t="shared" si="3"/>
        <v>23815.061518869981</v>
      </c>
      <c r="J213" s="84">
        <f t="shared" si="4"/>
        <v>2767638.0823809239</v>
      </c>
      <c r="K213" s="80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ht="15.75" customHeight="1" x14ac:dyDescent="0.25">
      <c r="A214" s="62"/>
      <c r="B214" s="62"/>
      <c r="C214" s="76"/>
      <c r="D214" s="77"/>
      <c r="E214" s="62"/>
      <c r="F214" s="83">
        <f t="shared" si="0"/>
        <v>211</v>
      </c>
      <c r="G214" s="84">
        <f t="shared" si="1"/>
        <v>38985.432714993862</v>
      </c>
      <c r="H214" s="84">
        <f t="shared" si="2"/>
        <v>15041.372946230005</v>
      </c>
      <c r="I214" s="84">
        <f t="shared" si="3"/>
        <v>23944.059768763858</v>
      </c>
      <c r="J214" s="84">
        <f t="shared" si="4"/>
        <v>2743694.0226121601</v>
      </c>
      <c r="K214" s="80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ht="15.75" customHeight="1" x14ac:dyDescent="0.25">
      <c r="A215" s="62"/>
      <c r="B215" s="62"/>
      <c r="C215" s="76"/>
      <c r="D215" s="77"/>
      <c r="E215" s="62"/>
      <c r="F215" s="83">
        <f t="shared" si="0"/>
        <v>212</v>
      </c>
      <c r="G215" s="84">
        <f t="shared" si="1"/>
        <v>38985.432714993862</v>
      </c>
      <c r="H215" s="84">
        <f t="shared" si="2"/>
        <v>14911.675955815866</v>
      </c>
      <c r="I215" s="84">
        <f t="shared" si="3"/>
        <v>24073.756759177995</v>
      </c>
      <c r="J215" s="84">
        <f t="shared" si="4"/>
        <v>2719620.2658529822</v>
      </c>
      <c r="K215" s="80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ht="15.75" customHeight="1" x14ac:dyDescent="0.25">
      <c r="A216" s="62"/>
      <c r="B216" s="62"/>
      <c r="C216" s="76"/>
      <c r="D216" s="77"/>
      <c r="E216" s="62"/>
      <c r="F216" s="83">
        <f t="shared" si="0"/>
        <v>213</v>
      </c>
      <c r="G216" s="84">
        <f t="shared" si="1"/>
        <v>38985.432714993862</v>
      </c>
      <c r="H216" s="84">
        <f t="shared" si="2"/>
        <v>14781.276440036987</v>
      </c>
      <c r="I216" s="84">
        <f t="shared" si="3"/>
        <v>24204.156274956877</v>
      </c>
      <c r="J216" s="84">
        <f t="shared" si="4"/>
        <v>2695416.1095780255</v>
      </c>
      <c r="K216" s="80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ht="15.75" customHeight="1" x14ac:dyDescent="0.25">
      <c r="A217" s="62"/>
      <c r="B217" s="62"/>
      <c r="C217" s="76"/>
      <c r="D217" s="77"/>
      <c r="E217" s="62"/>
      <c r="F217" s="83">
        <f t="shared" si="0"/>
        <v>214</v>
      </c>
      <c r="G217" s="84">
        <f t="shared" si="1"/>
        <v>38985.432714993862</v>
      </c>
      <c r="H217" s="84">
        <f t="shared" si="2"/>
        <v>14650.17059354764</v>
      </c>
      <c r="I217" s="84">
        <f t="shared" si="3"/>
        <v>24335.26212144622</v>
      </c>
      <c r="J217" s="84">
        <f t="shared" si="4"/>
        <v>2671080.8474565791</v>
      </c>
      <c r="K217" s="80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ht="15.75" customHeight="1" x14ac:dyDescent="0.25">
      <c r="A218" s="62"/>
      <c r="B218" s="62"/>
      <c r="C218" s="76"/>
      <c r="D218" s="77"/>
      <c r="E218" s="62"/>
      <c r="F218" s="83">
        <f t="shared" si="0"/>
        <v>215</v>
      </c>
      <c r="G218" s="84">
        <f t="shared" si="1"/>
        <v>38985.432714993862</v>
      </c>
      <c r="H218" s="84">
        <f t="shared" si="2"/>
        <v>14518.354590389805</v>
      </c>
      <c r="I218" s="84">
        <f t="shared" si="3"/>
        <v>24467.078124604057</v>
      </c>
      <c r="J218" s="84">
        <f t="shared" si="4"/>
        <v>2646613.7693319749</v>
      </c>
      <c r="K218" s="80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ht="15.75" customHeight="1" x14ac:dyDescent="0.25">
      <c r="A219" s="62"/>
      <c r="B219" s="62"/>
      <c r="C219" s="76"/>
      <c r="D219" s="77"/>
      <c r="E219" s="62"/>
      <c r="F219" s="83">
        <f t="shared" si="0"/>
        <v>216</v>
      </c>
      <c r="G219" s="84">
        <f t="shared" si="1"/>
        <v>38985.432714993862</v>
      </c>
      <c r="H219" s="84">
        <f t="shared" si="2"/>
        <v>14385.824583881533</v>
      </c>
      <c r="I219" s="84">
        <f t="shared" si="3"/>
        <v>24599.608131112327</v>
      </c>
      <c r="J219" s="84">
        <f t="shared" si="4"/>
        <v>2622014.1612008624</v>
      </c>
      <c r="K219" s="80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ht="15.75" customHeight="1" x14ac:dyDescent="0.25">
      <c r="A220" s="62"/>
      <c r="B220" s="62"/>
      <c r="C220" s="76"/>
      <c r="D220" s="77"/>
      <c r="E220" s="62"/>
      <c r="F220" s="83">
        <f t="shared" si="0"/>
        <v>217</v>
      </c>
      <c r="G220" s="84">
        <f t="shared" si="1"/>
        <v>38985.432714993862</v>
      </c>
      <c r="H220" s="84">
        <f t="shared" si="2"/>
        <v>14252.576706504673</v>
      </c>
      <c r="I220" s="84">
        <f t="shared" si="3"/>
        <v>24732.856008489187</v>
      </c>
      <c r="J220" s="84">
        <f t="shared" si="4"/>
        <v>2597281.3051923732</v>
      </c>
      <c r="K220" s="80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ht="15.75" customHeight="1" x14ac:dyDescent="0.25">
      <c r="A221" s="62"/>
      <c r="B221" s="62"/>
      <c r="C221" s="76"/>
      <c r="D221" s="77"/>
      <c r="E221" s="62"/>
      <c r="F221" s="83">
        <f t="shared" si="0"/>
        <v>218</v>
      </c>
      <c r="G221" s="84">
        <f t="shared" si="1"/>
        <v>38985.432714993862</v>
      </c>
      <c r="H221" s="84">
        <f t="shared" si="2"/>
        <v>14118.607069792022</v>
      </c>
      <c r="I221" s="84">
        <f t="shared" si="3"/>
        <v>24866.82564520184</v>
      </c>
      <c r="J221" s="84">
        <f t="shared" si="4"/>
        <v>2572414.4795471714</v>
      </c>
      <c r="K221" s="80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ht="15.75" customHeight="1" x14ac:dyDescent="0.25">
      <c r="A222" s="62"/>
      <c r="B222" s="62"/>
      <c r="C222" s="76"/>
      <c r="D222" s="77"/>
      <c r="E222" s="62"/>
      <c r="F222" s="83">
        <f t="shared" si="0"/>
        <v>219</v>
      </c>
      <c r="G222" s="84">
        <f t="shared" si="1"/>
        <v>38985.432714993862</v>
      </c>
      <c r="H222" s="84">
        <f t="shared" si="2"/>
        <v>13983.911764213844</v>
      </c>
      <c r="I222" s="84">
        <f t="shared" si="3"/>
        <v>25001.520950780017</v>
      </c>
      <c r="J222" s="84">
        <f t="shared" si="4"/>
        <v>2547412.9585963916</v>
      </c>
      <c r="K222" s="80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ht="15.75" customHeight="1" x14ac:dyDescent="0.25">
      <c r="A223" s="62"/>
      <c r="B223" s="62"/>
      <c r="C223" s="76"/>
      <c r="D223" s="77"/>
      <c r="E223" s="62"/>
      <c r="F223" s="83">
        <f t="shared" si="0"/>
        <v>220</v>
      </c>
      <c r="G223" s="84">
        <f t="shared" si="1"/>
        <v>38985.432714993862</v>
      </c>
      <c r="H223" s="84">
        <f t="shared" si="2"/>
        <v>13848.486859063787</v>
      </c>
      <c r="I223" s="84">
        <f t="shared" si="3"/>
        <v>25136.945855930077</v>
      </c>
      <c r="J223" s="84">
        <f t="shared" si="4"/>
        <v>2522276.0127404616</v>
      </c>
      <c r="K223" s="80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ht="15.75" customHeight="1" x14ac:dyDescent="0.25">
      <c r="A224" s="62"/>
      <c r="B224" s="62"/>
      <c r="C224" s="76"/>
      <c r="D224" s="77"/>
      <c r="E224" s="62"/>
      <c r="F224" s="83">
        <f t="shared" si="0"/>
        <v>221</v>
      </c>
      <c r="G224" s="84">
        <f t="shared" si="1"/>
        <v>38985.432714993862</v>
      </c>
      <c r="H224" s="84">
        <f t="shared" si="2"/>
        <v>13712.328402344167</v>
      </c>
      <c r="I224" s="84">
        <f t="shared" si="3"/>
        <v>25273.104312649695</v>
      </c>
      <c r="J224" s="84">
        <f t="shared" si="4"/>
        <v>2497002.9084278122</v>
      </c>
      <c r="K224" s="80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ht="15.75" customHeight="1" x14ac:dyDescent="0.25">
      <c r="A225" s="62"/>
      <c r="B225" s="62"/>
      <c r="C225" s="76"/>
      <c r="D225" s="77"/>
      <c r="E225" s="62"/>
      <c r="F225" s="83">
        <f t="shared" si="0"/>
        <v>222</v>
      </c>
      <c r="G225" s="84">
        <f t="shared" si="1"/>
        <v>38985.432714993862</v>
      </c>
      <c r="H225" s="84">
        <f t="shared" si="2"/>
        <v>13575.43242065065</v>
      </c>
      <c r="I225" s="84">
        <f t="shared" si="3"/>
        <v>25410.000294343212</v>
      </c>
      <c r="J225" s="84">
        <f t="shared" si="4"/>
        <v>2471592.9081334691</v>
      </c>
      <c r="K225" s="80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ht="15.75" customHeight="1" x14ac:dyDescent="0.25">
      <c r="A226" s="62"/>
      <c r="B226" s="62"/>
      <c r="C226" s="76"/>
      <c r="D226" s="77"/>
      <c r="E226" s="62"/>
      <c r="F226" s="83">
        <f t="shared" si="0"/>
        <v>223</v>
      </c>
      <c r="G226" s="84">
        <f t="shared" si="1"/>
        <v>38985.432714993862</v>
      </c>
      <c r="H226" s="84">
        <f t="shared" si="2"/>
        <v>13437.794919056292</v>
      </c>
      <c r="I226" s="84">
        <f t="shared" si="3"/>
        <v>25547.637795937568</v>
      </c>
      <c r="J226" s="84">
        <f t="shared" si="4"/>
        <v>2446045.2703375313</v>
      </c>
      <c r="K226" s="80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ht="15.75" customHeight="1" x14ac:dyDescent="0.25">
      <c r="A227" s="62"/>
      <c r="B227" s="62"/>
      <c r="C227" s="76"/>
      <c r="D227" s="77"/>
      <c r="E227" s="62"/>
      <c r="F227" s="83">
        <f t="shared" si="0"/>
        <v>224</v>
      </c>
      <c r="G227" s="84">
        <f t="shared" si="1"/>
        <v>38985.432714993862</v>
      </c>
      <c r="H227" s="84">
        <f t="shared" si="2"/>
        <v>13299.411880994963</v>
      </c>
      <c r="I227" s="84">
        <f t="shared" si="3"/>
        <v>25686.020833998897</v>
      </c>
      <c r="J227" s="84">
        <f t="shared" si="4"/>
        <v>2420359.2495035324</v>
      </c>
      <c r="K227" s="80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ht="15.75" customHeight="1" x14ac:dyDescent="0.25">
      <c r="A228" s="62"/>
      <c r="B228" s="62"/>
      <c r="C228" s="76"/>
      <c r="D228" s="77"/>
      <c r="E228" s="62"/>
      <c r="F228" s="83">
        <f t="shared" si="0"/>
        <v>225</v>
      </c>
      <c r="G228" s="84">
        <f t="shared" si="1"/>
        <v>38985.432714993862</v>
      </c>
      <c r="H228" s="84">
        <f t="shared" si="2"/>
        <v>13160.279268144135</v>
      </c>
      <c r="I228" s="84">
        <f t="shared" si="3"/>
        <v>25825.153446849727</v>
      </c>
      <c r="J228" s="84">
        <f t="shared" si="4"/>
        <v>2394534.0960566825</v>
      </c>
      <c r="K228" s="80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ht="15.75" customHeight="1" x14ac:dyDescent="0.25">
      <c r="A229" s="62"/>
      <c r="B229" s="62"/>
      <c r="C229" s="76"/>
      <c r="D229" s="77"/>
      <c r="E229" s="62"/>
      <c r="F229" s="83">
        <f t="shared" si="0"/>
        <v>226</v>
      </c>
      <c r="G229" s="84">
        <f t="shared" si="1"/>
        <v>38985.432714993862</v>
      </c>
      <c r="H229" s="84">
        <f t="shared" si="2"/>
        <v>13020.393020307032</v>
      </c>
      <c r="I229" s="84">
        <f t="shared" si="3"/>
        <v>25965.039694686828</v>
      </c>
      <c r="J229" s="84">
        <f t="shared" si="4"/>
        <v>2368569.0563619956</v>
      </c>
      <c r="K229" s="80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ht="15.75" customHeight="1" x14ac:dyDescent="0.25">
      <c r="A230" s="62"/>
      <c r="B230" s="62"/>
      <c r="C230" s="76"/>
      <c r="D230" s="77"/>
      <c r="E230" s="62"/>
      <c r="F230" s="83">
        <f t="shared" si="0"/>
        <v>227</v>
      </c>
      <c r="G230" s="84">
        <f t="shared" si="1"/>
        <v>38985.432714993862</v>
      </c>
      <c r="H230" s="84">
        <f t="shared" si="2"/>
        <v>12879.749055294144</v>
      </c>
      <c r="I230" s="84">
        <f t="shared" si="3"/>
        <v>26105.683659699716</v>
      </c>
      <c r="J230" s="84">
        <f t="shared" si="4"/>
        <v>2342463.3727022959</v>
      </c>
      <c r="K230" s="80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ht="15.75" customHeight="1" x14ac:dyDescent="0.25">
      <c r="A231" s="62"/>
      <c r="B231" s="62"/>
      <c r="C231" s="76"/>
      <c r="D231" s="77"/>
      <c r="E231" s="62"/>
      <c r="F231" s="83">
        <f t="shared" si="0"/>
        <v>228</v>
      </c>
      <c r="G231" s="84">
        <f t="shared" si="1"/>
        <v>38985.432714993862</v>
      </c>
      <c r="H231" s="84">
        <f t="shared" si="2"/>
        <v>12738.343268804105</v>
      </c>
      <c r="I231" s="84">
        <f t="shared" si="3"/>
        <v>26247.089446189755</v>
      </c>
      <c r="J231" s="84">
        <f t="shared" si="4"/>
        <v>2316216.2832561061</v>
      </c>
      <c r="K231" s="80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ht="15.75" customHeight="1" x14ac:dyDescent="0.25">
      <c r="A232" s="62"/>
      <c r="B232" s="62"/>
      <c r="C232" s="76"/>
      <c r="D232" s="77"/>
      <c r="E232" s="62"/>
      <c r="F232" s="83">
        <f t="shared" si="0"/>
        <v>229</v>
      </c>
      <c r="G232" s="84">
        <f t="shared" si="1"/>
        <v>38985.432714993862</v>
      </c>
      <c r="H232" s="84">
        <f t="shared" si="2"/>
        <v>12596.171534303909</v>
      </c>
      <c r="I232" s="84">
        <f t="shared" si="3"/>
        <v>26389.261180689951</v>
      </c>
      <c r="J232" s="84">
        <f t="shared" si="4"/>
        <v>2289827.0220754161</v>
      </c>
      <c r="K232" s="80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ht="15.75" customHeight="1" x14ac:dyDescent="0.25">
      <c r="A233" s="62"/>
      <c r="B233" s="62"/>
      <c r="C233" s="76"/>
      <c r="D233" s="77"/>
      <c r="E233" s="62"/>
      <c r="F233" s="83">
        <f t="shared" si="0"/>
        <v>230</v>
      </c>
      <c r="G233" s="84">
        <f t="shared" si="1"/>
        <v>38985.432714993862</v>
      </c>
      <c r="H233" s="84">
        <f t="shared" si="2"/>
        <v>12453.229702908504</v>
      </c>
      <c r="I233" s="84">
        <f t="shared" si="3"/>
        <v>26532.20301208536</v>
      </c>
      <c r="J233" s="84">
        <f t="shared" si="4"/>
        <v>2263294.8190633305</v>
      </c>
      <c r="K233" s="80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ht="15.75" customHeight="1" x14ac:dyDescent="0.25">
      <c r="A234" s="62"/>
      <c r="B234" s="62"/>
      <c r="C234" s="76"/>
      <c r="D234" s="77"/>
      <c r="E234" s="62"/>
      <c r="F234" s="83">
        <f t="shared" si="0"/>
        <v>231</v>
      </c>
      <c r="G234" s="84">
        <f t="shared" si="1"/>
        <v>38985.432714993862</v>
      </c>
      <c r="H234" s="84">
        <f t="shared" si="2"/>
        <v>12309.513603259707</v>
      </c>
      <c r="I234" s="84">
        <f t="shared" si="3"/>
        <v>26675.919111734154</v>
      </c>
      <c r="J234" s="84">
        <f t="shared" si="4"/>
        <v>2236618.8999515963</v>
      </c>
      <c r="K234" s="80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ht="15.75" customHeight="1" x14ac:dyDescent="0.25">
      <c r="A235" s="62"/>
      <c r="B235" s="62"/>
      <c r="C235" s="76"/>
      <c r="D235" s="77"/>
      <c r="E235" s="62"/>
      <c r="F235" s="83">
        <f t="shared" si="0"/>
        <v>232</v>
      </c>
      <c r="G235" s="84">
        <f t="shared" si="1"/>
        <v>38985.432714993862</v>
      </c>
      <c r="H235" s="84">
        <f t="shared" si="2"/>
        <v>12165.019041404479</v>
      </c>
      <c r="I235" s="84">
        <f t="shared" si="3"/>
        <v>26820.413673589384</v>
      </c>
      <c r="J235" s="84">
        <f t="shared" si="4"/>
        <v>2209798.4862780068</v>
      </c>
      <c r="K235" s="80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ht="15.75" customHeight="1" x14ac:dyDescent="0.25">
      <c r="A236" s="62"/>
      <c r="B236" s="62"/>
      <c r="C236" s="76"/>
      <c r="D236" s="77"/>
      <c r="E236" s="62"/>
      <c r="F236" s="83">
        <f t="shared" si="0"/>
        <v>233</v>
      </c>
      <c r="G236" s="84">
        <f t="shared" si="1"/>
        <v>38985.432714993862</v>
      </c>
      <c r="H236" s="84">
        <f t="shared" si="2"/>
        <v>12019.741800672537</v>
      </c>
      <c r="I236" s="84">
        <f t="shared" si="3"/>
        <v>26965.690914321327</v>
      </c>
      <c r="J236" s="84">
        <f t="shared" si="4"/>
        <v>2182832.7953636856</v>
      </c>
      <c r="K236" s="80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ht="15.75" customHeight="1" x14ac:dyDescent="0.25">
      <c r="A237" s="62"/>
      <c r="B237" s="62"/>
      <c r="C237" s="76"/>
      <c r="D237" s="77"/>
      <c r="E237" s="62"/>
      <c r="F237" s="83">
        <f t="shared" si="0"/>
        <v>234</v>
      </c>
      <c r="G237" s="84">
        <f t="shared" si="1"/>
        <v>38985.432714993862</v>
      </c>
      <c r="H237" s="84">
        <f t="shared" si="2"/>
        <v>11873.677641553297</v>
      </c>
      <c r="I237" s="84">
        <f t="shared" si="3"/>
        <v>27111.755073440567</v>
      </c>
      <c r="J237" s="84">
        <f t="shared" si="4"/>
        <v>2155721.0402902449</v>
      </c>
      <c r="K237" s="80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ht="15.75" customHeight="1" x14ac:dyDescent="0.25">
      <c r="A238" s="62"/>
      <c r="B238" s="62"/>
      <c r="C238" s="76"/>
      <c r="D238" s="77"/>
      <c r="E238" s="62"/>
      <c r="F238" s="83">
        <f t="shared" si="0"/>
        <v>235</v>
      </c>
      <c r="G238" s="84">
        <f t="shared" si="1"/>
        <v>38985.432714993862</v>
      </c>
      <c r="H238" s="84">
        <f t="shared" si="2"/>
        <v>11726.82230157216</v>
      </c>
      <c r="I238" s="84">
        <f t="shared" si="3"/>
        <v>27258.610413421702</v>
      </c>
      <c r="J238" s="84">
        <f t="shared" si="4"/>
        <v>2128462.429876823</v>
      </c>
      <c r="K238" s="80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ht="15.75" customHeight="1" x14ac:dyDescent="0.25">
      <c r="A239" s="62"/>
      <c r="B239" s="62"/>
      <c r="C239" s="76"/>
      <c r="D239" s="77"/>
      <c r="E239" s="62"/>
      <c r="F239" s="83">
        <f t="shared" si="0"/>
        <v>236</v>
      </c>
      <c r="G239" s="84">
        <f t="shared" si="1"/>
        <v>38985.432714993862</v>
      </c>
      <c r="H239" s="84">
        <f t="shared" si="2"/>
        <v>11579.171495166125</v>
      </c>
      <c r="I239" s="84">
        <f t="shared" si="3"/>
        <v>27406.261219827735</v>
      </c>
      <c r="J239" s="84">
        <f t="shared" si="4"/>
        <v>2101056.1686569951</v>
      </c>
      <c r="K239" s="80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ht="15.75" customHeight="1" x14ac:dyDescent="0.25">
      <c r="A240" s="62"/>
      <c r="B240" s="62"/>
      <c r="C240" s="76"/>
      <c r="D240" s="77"/>
      <c r="E240" s="62"/>
      <c r="F240" s="83">
        <f t="shared" si="0"/>
        <v>237</v>
      </c>
      <c r="G240" s="84">
        <f t="shared" si="1"/>
        <v>38985.432714993862</v>
      </c>
      <c r="H240" s="84">
        <f t="shared" si="2"/>
        <v>11430.720913558724</v>
      </c>
      <c r="I240" s="84">
        <f t="shared" si="3"/>
        <v>27554.711801435136</v>
      </c>
      <c r="J240" s="84">
        <f t="shared" si="4"/>
        <v>2073501.45685556</v>
      </c>
      <c r="K240" s="80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ht="15.75" customHeight="1" x14ac:dyDescent="0.25">
      <c r="A241" s="62"/>
      <c r="B241" s="62"/>
      <c r="C241" s="76"/>
      <c r="D241" s="77"/>
      <c r="E241" s="62"/>
      <c r="F241" s="83">
        <f t="shared" si="0"/>
        <v>238</v>
      </c>
      <c r="G241" s="84">
        <f t="shared" si="1"/>
        <v>38985.432714993862</v>
      </c>
      <c r="H241" s="84">
        <f t="shared" si="2"/>
        <v>11281.466224634283</v>
      </c>
      <c r="I241" s="84">
        <f t="shared" si="3"/>
        <v>27703.966490359577</v>
      </c>
      <c r="J241" s="84">
        <f t="shared" si="4"/>
        <v>2045797.4903652004</v>
      </c>
      <c r="K241" s="80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ht="15.75" customHeight="1" x14ac:dyDescent="0.25">
      <c r="A242" s="62"/>
      <c r="B242" s="62"/>
      <c r="C242" s="76"/>
      <c r="D242" s="77"/>
      <c r="E242" s="62"/>
      <c r="F242" s="83">
        <f t="shared" si="0"/>
        <v>239</v>
      </c>
      <c r="G242" s="84">
        <f t="shared" si="1"/>
        <v>38985.432714993862</v>
      </c>
      <c r="H242" s="84">
        <f t="shared" si="2"/>
        <v>11131.403072811503</v>
      </c>
      <c r="I242" s="84">
        <f t="shared" si="3"/>
        <v>27854.029642182359</v>
      </c>
      <c r="J242" s="84">
        <f t="shared" si="4"/>
        <v>2017943.460723018</v>
      </c>
      <c r="K242" s="80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ht="15.75" customHeight="1" x14ac:dyDescent="0.25">
      <c r="A243" s="62"/>
      <c r="B243" s="62"/>
      <c r="C243" s="76"/>
      <c r="D243" s="77"/>
      <c r="E243" s="62"/>
      <c r="F243" s="83">
        <f t="shared" si="0"/>
        <v>240</v>
      </c>
      <c r="G243" s="84">
        <f t="shared" si="1"/>
        <v>38985.432714993862</v>
      </c>
      <c r="H243" s="84">
        <f t="shared" si="2"/>
        <v>10980.527078916348</v>
      </c>
      <c r="I243" s="84">
        <f t="shared" si="3"/>
        <v>28004.905636077514</v>
      </c>
      <c r="J243" s="84">
        <f t="shared" si="4"/>
        <v>1989938.5550869405</v>
      </c>
      <c r="K243" s="80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ht="15.75" customHeight="1" x14ac:dyDescent="0.25">
      <c r="A244" s="62"/>
      <c r="B244" s="62"/>
      <c r="C244" s="76"/>
      <c r="D244" s="77"/>
      <c r="E244" s="62"/>
      <c r="F244" s="83">
        <f t="shared" si="0"/>
        <v>241</v>
      </c>
      <c r="G244" s="84">
        <f t="shared" si="1"/>
        <v>38985.432714993862</v>
      </c>
      <c r="H244" s="84">
        <f t="shared" si="2"/>
        <v>10828.833840054262</v>
      </c>
      <c r="I244" s="84">
        <f t="shared" si="3"/>
        <v>28156.598874939598</v>
      </c>
      <c r="J244" s="84">
        <f t="shared" si="4"/>
        <v>1961781.9562120009</v>
      </c>
      <c r="K244" s="80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ht="15.75" customHeight="1" x14ac:dyDescent="0.25">
      <c r="A245" s="62"/>
      <c r="B245" s="62"/>
      <c r="C245" s="76"/>
      <c r="D245" s="77"/>
      <c r="E245" s="62"/>
      <c r="F245" s="83">
        <f t="shared" si="0"/>
        <v>242</v>
      </c>
      <c r="G245" s="84">
        <f t="shared" si="1"/>
        <v>38985.432714993862</v>
      </c>
      <c r="H245" s="84">
        <f t="shared" si="2"/>
        <v>10676.318929481671</v>
      </c>
      <c r="I245" s="84">
        <f t="shared" si="3"/>
        <v>28309.113785512192</v>
      </c>
      <c r="J245" s="84">
        <f t="shared" si="4"/>
        <v>1933472.8424264886</v>
      </c>
      <c r="K245" s="80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ht="15.75" customHeight="1" x14ac:dyDescent="0.25">
      <c r="A246" s="62"/>
      <c r="B246" s="62"/>
      <c r="C246" s="76"/>
      <c r="D246" s="77"/>
      <c r="E246" s="62"/>
      <c r="F246" s="83">
        <f t="shared" si="0"/>
        <v>243</v>
      </c>
      <c r="G246" s="84">
        <f t="shared" si="1"/>
        <v>38985.432714993862</v>
      </c>
      <c r="H246" s="84">
        <f t="shared" si="2"/>
        <v>10522.977896476814</v>
      </c>
      <c r="I246" s="84">
        <f t="shared" si="3"/>
        <v>28462.45481851705</v>
      </c>
      <c r="J246" s="84">
        <f t="shared" si="4"/>
        <v>1905010.3876079717</v>
      </c>
      <c r="K246" s="80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ht="15.75" customHeight="1" x14ac:dyDescent="0.25">
      <c r="A247" s="62"/>
      <c r="B247" s="62"/>
      <c r="C247" s="76"/>
      <c r="D247" s="77"/>
      <c r="E247" s="62"/>
      <c r="F247" s="83">
        <f t="shared" si="0"/>
        <v>244</v>
      </c>
      <c r="G247" s="84">
        <f t="shared" si="1"/>
        <v>38985.432714993862</v>
      </c>
      <c r="H247" s="84">
        <f t="shared" si="2"/>
        <v>10368.806266209847</v>
      </c>
      <c r="I247" s="84">
        <f t="shared" si="3"/>
        <v>28616.626448784016</v>
      </c>
      <c r="J247" s="84">
        <f t="shared" si="4"/>
        <v>1876393.7611591876</v>
      </c>
      <c r="K247" s="80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15.75" customHeight="1" x14ac:dyDescent="0.25">
      <c r="A248" s="62"/>
      <c r="B248" s="62"/>
      <c r="C248" s="76"/>
      <c r="D248" s="77"/>
      <c r="E248" s="62"/>
      <c r="F248" s="83">
        <f t="shared" si="0"/>
        <v>245</v>
      </c>
      <c r="G248" s="84">
        <f t="shared" si="1"/>
        <v>38985.432714993862</v>
      </c>
      <c r="H248" s="84">
        <f t="shared" si="2"/>
        <v>10213.799539612266</v>
      </c>
      <c r="I248" s="84">
        <f t="shared" si="3"/>
        <v>28771.633175381598</v>
      </c>
      <c r="J248" s="84">
        <f t="shared" si="4"/>
        <v>1847622.127983806</v>
      </c>
      <c r="K248" s="80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15.75" customHeight="1" x14ac:dyDescent="0.25">
      <c r="A249" s="62"/>
      <c r="B249" s="62"/>
      <c r="C249" s="76"/>
      <c r="D249" s="77"/>
      <c r="E249" s="62"/>
      <c r="F249" s="83">
        <f t="shared" si="0"/>
        <v>246</v>
      </c>
      <c r="G249" s="84">
        <f t="shared" si="1"/>
        <v>38985.432714993862</v>
      </c>
      <c r="H249" s="84">
        <f t="shared" si="2"/>
        <v>10057.953193245616</v>
      </c>
      <c r="I249" s="84">
        <f t="shared" si="3"/>
        <v>28927.479521748246</v>
      </c>
      <c r="J249" s="84">
        <f t="shared" si="4"/>
        <v>1818694.6484620578</v>
      </c>
      <c r="K249" s="80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15.75" customHeight="1" x14ac:dyDescent="0.25">
      <c r="A250" s="62"/>
      <c r="B250" s="62"/>
      <c r="C250" s="76"/>
      <c r="D250" s="77"/>
      <c r="E250" s="62"/>
      <c r="F250" s="83">
        <f t="shared" si="0"/>
        <v>247</v>
      </c>
      <c r="G250" s="84">
        <f t="shared" si="1"/>
        <v>38985.432714993862</v>
      </c>
      <c r="H250" s="84">
        <f t="shared" si="2"/>
        <v>9901.2626791694802</v>
      </c>
      <c r="I250" s="84">
        <f t="shared" si="3"/>
        <v>29084.170035824383</v>
      </c>
      <c r="J250" s="84">
        <f t="shared" si="4"/>
        <v>1789610.4784262334</v>
      </c>
      <c r="K250" s="80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15.75" customHeight="1" x14ac:dyDescent="0.25">
      <c r="A251" s="62"/>
      <c r="B251" s="62"/>
      <c r="C251" s="76"/>
      <c r="D251" s="77"/>
      <c r="E251" s="62"/>
      <c r="F251" s="83">
        <f t="shared" si="0"/>
        <v>248</v>
      </c>
      <c r="G251" s="84">
        <f t="shared" si="1"/>
        <v>38985.432714993862</v>
      </c>
      <c r="H251" s="84">
        <f t="shared" si="2"/>
        <v>9743.7234248087643</v>
      </c>
      <c r="I251" s="84">
        <f t="shared" si="3"/>
        <v>29241.709290185099</v>
      </c>
      <c r="J251" s="84">
        <f t="shared" si="4"/>
        <v>1760368.7691360484</v>
      </c>
      <c r="K251" s="80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15.75" customHeight="1" x14ac:dyDescent="0.25">
      <c r="A252" s="62"/>
      <c r="B252" s="62"/>
      <c r="C252" s="76"/>
      <c r="D252" s="77"/>
      <c r="E252" s="62"/>
      <c r="F252" s="83">
        <f t="shared" si="0"/>
        <v>249</v>
      </c>
      <c r="G252" s="84">
        <f t="shared" si="1"/>
        <v>38985.432714993862</v>
      </c>
      <c r="H252" s="84">
        <f t="shared" si="2"/>
        <v>9585.330832820262</v>
      </c>
      <c r="I252" s="84">
        <f t="shared" si="3"/>
        <v>29400.1018821736</v>
      </c>
      <c r="J252" s="84">
        <f t="shared" si="4"/>
        <v>1730968.6672538747</v>
      </c>
      <c r="K252" s="80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15.75" customHeight="1" x14ac:dyDescent="0.25">
      <c r="A253" s="62"/>
      <c r="B253" s="62"/>
      <c r="C253" s="76"/>
      <c r="D253" s="77"/>
      <c r="E253" s="62"/>
      <c r="F253" s="83">
        <f t="shared" si="0"/>
        <v>250</v>
      </c>
      <c r="G253" s="84">
        <f t="shared" si="1"/>
        <v>38985.432714993862</v>
      </c>
      <c r="H253" s="84">
        <f t="shared" si="2"/>
        <v>9426.0802809584875</v>
      </c>
      <c r="I253" s="84">
        <f t="shared" si="3"/>
        <v>29559.352434035376</v>
      </c>
      <c r="J253" s="84">
        <f t="shared" si="4"/>
        <v>1701409.3148198393</v>
      </c>
      <c r="K253" s="80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15.75" customHeight="1" x14ac:dyDescent="0.25">
      <c r="A254" s="62"/>
      <c r="B254" s="62"/>
      <c r="C254" s="76"/>
      <c r="D254" s="77"/>
      <c r="E254" s="62"/>
      <c r="F254" s="83">
        <f t="shared" si="0"/>
        <v>251</v>
      </c>
      <c r="G254" s="84">
        <f t="shared" si="1"/>
        <v>38985.432714993862</v>
      </c>
      <c r="H254" s="84">
        <f t="shared" si="2"/>
        <v>9265.9671219407956</v>
      </c>
      <c r="I254" s="84">
        <f t="shared" si="3"/>
        <v>29719.465593053064</v>
      </c>
      <c r="J254" s="84">
        <f t="shared" si="4"/>
        <v>1671689.8492267863</v>
      </c>
      <c r="K254" s="80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15.75" customHeight="1" x14ac:dyDescent="0.25">
      <c r="A255" s="62"/>
      <c r="B255" s="62"/>
      <c r="C255" s="76"/>
      <c r="D255" s="77"/>
      <c r="E255" s="62"/>
      <c r="F255" s="83">
        <f t="shared" si="0"/>
        <v>252</v>
      </c>
      <c r="G255" s="84">
        <f t="shared" si="1"/>
        <v>38985.432714993862</v>
      </c>
      <c r="H255" s="84">
        <f t="shared" si="2"/>
        <v>9104.9866833117594</v>
      </c>
      <c r="I255" s="84">
        <f t="shared" si="3"/>
        <v>29880.446031682102</v>
      </c>
      <c r="J255" s="84">
        <f t="shared" si="4"/>
        <v>1641809.4031951041</v>
      </c>
      <c r="K255" s="80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15.75" customHeight="1" x14ac:dyDescent="0.25">
      <c r="A256" s="62"/>
      <c r="B256" s="62"/>
      <c r="C256" s="76"/>
      <c r="D256" s="77"/>
      <c r="E256" s="62"/>
      <c r="F256" s="83">
        <f t="shared" si="0"/>
        <v>253</v>
      </c>
      <c r="G256" s="84">
        <f t="shared" si="1"/>
        <v>38985.432714993862</v>
      </c>
      <c r="H256" s="84">
        <f t="shared" si="2"/>
        <v>8943.1342673068139</v>
      </c>
      <c r="I256" s="84">
        <f t="shared" si="3"/>
        <v>30042.298447687048</v>
      </c>
      <c r="J256" s="84">
        <f t="shared" si="4"/>
        <v>1611767.1047474172</v>
      </c>
      <c r="K256" s="80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15.75" customHeight="1" x14ac:dyDescent="0.25">
      <c r="A257" s="62"/>
      <c r="B257" s="62"/>
      <c r="C257" s="76"/>
      <c r="D257" s="77"/>
      <c r="E257" s="62"/>
      <c r="F257" s="83">
        <f t="shared" si="0"/>
        <v>254</v>
      </c>
      <c r="G257" s="84">
        <f t="shared" si="1"/>
        <v>38985.432714993862</v>
      </c>
      <c r="H257" s="84">
        <f t="shared" si="2"/>
        <v>8780.4051507151762</v>
      </c>
      <c r="I257" s="84">
        <f t="shared" si="3"/>
        <v>30205.027564278687</v>
      </c>
      <c r="J257" s="84">
        <f t="shared" si="4"/>
        <v>1581562.0771831386</v>
      </c>
      <c r="K257" s="80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15.75" customHeight="1" x14ac:dyDescent="0.25">
      <c r="A258" s="62"/>
      <c r="B258" s="62"/>
      <c r="C258" s="76"/>
      <c r="D258" s="77"/>
      <c r="E258" s="62"/>
      <c r="F258" s="83">
        <f t="shared" si="0"/>
        <v>255</v>
      </c>
      <c r="G258" s="84">
        <f t="shared" si="1"/>
        <v>38985.432714993862</v>
      </c>
      <c r="H258" s="84">
        <f t="shared" si="2"/>
        <v>8616.7945847420015</v>
      </c>
      <c r="I258" s="84">
        <f t="shared" si="3"/>
        <v>30368.63813025186</v>
      </c>
      <c r="J258" s="84">
        <f t="shared" si="4"/>
        <v>1551193.4390528868</v>
      </c>
      <c r="K258" s="80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15.75" customHeight="1" x14ac:dyDescent="0.25">
      <c r="A259" s="62"/>
      <c r="B259" s="62"/>
      <c r="C259" s="76"/>
      <c r="D259" s="77"/>
      <c r="E259" s="62"/>
      <c r="F259" s="83">
        <f t="shared" ref="F259:F513" si="18">IF(F258&lt;&gt;"",IF(J258&gt;1,F258+1,""),"")</f>
        <v>256</v>
      </c>
      <c r="G259" s="84">
        <f t="shared" ref="G259:G513" si="19">IF(F259&lt;&gt;"",IF(J258&gt;$C$15,$C$15,J258+H259),"")</f>
        <v>38985.432714993862</v>
      </c>
      <c r="H259" s="84">
        <f t="shared" ref="H259:H513" si="20">IF(F259&lt;&gt;"",J258*$C$4%/$C$7+$C$8,"")</f>
        <v>8452.2977948698044</v>
      </c>
      <c r="I259" s="84">
        <f t="shared" ref="I259:I513" si="21">IF(F259&lt;&gt;"",IF(F259&gt;$C$6*$C$7,G259-H259,0),"")</f>
        <v>30533.134920124059</v>
      </c>
      <c r="J259" s="84">
        <f t="shared" ref="J259:J513" si="22">IF(F259&lt;&gt;"",J258-I259-K259,"")</f>
        <v>1520660.3041327628</v>
      </c>
      <c r="K259" s="80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15.75" customHeight="1" x14ac:dyDescent="0.25">
      <c r="A260" s="62"/>
      <c r="B260" s="62"/>
      <c r="C260" s="76"/>
      <c r="D260" s="77"/>
      <c r="E260" s="62"/>
      <c r="F260" s="83">
        <f t="shared" si="18"/>
        <v>257</v>
      </c>
      <c r="G260" s="84">
        <f t="shared" si="19"/>
        <v>38985.432714993862</v>
      </c>
      <c r="H260" s="84">
        <f t="shared" si="20"/>
        <v>8286.9099807191324</v>
      </c>
      <c r="I260" s="84">
        <f t="shared" si="21"/>
        <v>30698.522734274731</v>
      </c>
      <c r="J260" s="84">
        <f t="shared" si="22"/>
        <v>1489961.7813984882</v>
      </c>
      <c r="K260" s="80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15.75" customHeight="1" x14ac:dyDescent="0.25">
      <c r="A261" s="62"/>
      <c r="B261" s="62"/>
      <c r="C261" s="76"/>
      <c r="D261" s="77"/>
      <c r="E261" s="62"/>
      <c r="F261" s="83">
        <f t="shared" si="18"/>
        <v>258</v>
      </c>
      <c r="G261" s="84">
        <f t="shared" si="19"/>
        <v>38985.432714993862</v>
      </c>
      <c r="H261" s="84">
        <f t="shared" si="20"/>
        <v>8120.6263159084783</v>
      </c>
      <c r="I261" s="84">
        <f t="shared" si="21"/>
        <v>30864.806399085384</v>
      </c>
      <c r="J261" s="84">
        <f t="shared" si="22"/>
        <v>1459096.9749994029</v>
      </c>
      <c r="K261" s="80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15.75" customHeight="1" x14ac:dyDescent="0.25">
      <c r="A262" s="62"/>
      <c r="B262" s="62"/>
      <c r="C262" s="76"/>
      <c r="D262" s="77"/>
      <c r="E262" s="62"/>
      <c r="F262" s="83">
        <f t="shared" si="18"/>
        <v>259</v>
      </c>
      <c r="G262" s="84">
        <f t="shared" si="19"/>
        <v>38985.432714993862</v>
      </c>
      <c r="H262" s="84">
        <f t="shared" si="20"/>
        <v>7953.4419479134331</v>
      </c>
      <c r="I262" s="84">
        <f t="shared" si="21"/>
        <v>31031.990767080428</v>
      </c>
      <c r="J262" s="84">
        <f t="shared" si="22"/>
        <v>1428064.9842323225</v>
      </c>
      <c r="K262" s="80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15.75" customHeight="1" x14ac:dyDescent="0.25">
      <c r="A263" s="62"/>
      <c r="B263" s="62"/>
      <c r="C263" s="76"/>
      <c r="D263" s="77"/>
      <c r="E263" s="62"/>
      <c r="F263" s="83">
        <f t="shared" si="18"/>
        <v>260</v>
      </c>
      <c r="G263" s="84">
        <f t="shared" si="19"/>
        <v>38985.432714993862</v>
      </c>
      <c r="H263" s="84">
        <f t="shared" si="20"/>
        <v>7785.3519979250805</v>
      </c>
      <c r="I263" s="84">
        <f t="shared" si="21"/>
        <v>31200.08071706878</v>
      </c>
      <c r="J263" s="84">
        <f t="shared" si="22"/>
        <v>1396864.9035152537</v>
      </c>
      <c r="K263" s="80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15.75" customHeight="1" x14ac:dyDescent="0.25">
      <c r="A264" s="62"/>
      <c r="B264" s="62"/>
      <c r="C264" s="76"/>
      <c r="D264" s="77"/>
      <c r="E264" s="62"/>
      <c r="F264" s="83">
        <f t="shared" si="18"/>
        <v>261</v>
      </c>
      <c r="G264" s="84">
        <f t="shared" si="19"/>
        <v>38985.432714993862</v>
      </c>
      <c r="H264" s="84">
        <f t="shared" si="20"/>
        <v>7616.3515607076251</v>
      </c>
      <c r="I264" s="84">
        <f t="shared" si="21"/>
        <v>31369.081154286236</v>
      </c>
      <c r="J264" s="84">
        <f t="shared" si="22"/>
        <v>1365495.8223609675</v>
      </c>
      <c r="K264" s="80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15.75" customHeight="1" x14ac:dyDescent="0.25">
      <c r="A265" s="62"/>
      <c r="B265" s="62"/>
      <c r="C265" s="76"/>
      <c r="D265" s="77"/>
      <c r="E265" s="62"/>
      <c r="F265" s="83">
        <f t="shared" si="18"/>
        <v>262</v>
      </c>
      <c r="G265" s="84">
        <f t="shared" si="19"/>
        <v>38985.432714993862</v>
      </c>
      <c r="H265" s="84">
        <f t="shared" si="20"/>
        <v>7446.4357044552407</v>
      </c>
      <c r="I265" s="84">
        <f t="shared" si="21"/>
        <v>31538.99701053862</v>
      </c>
      <c r="J265" s="84">
        <f t="shared" si="22"/>
        <v>1333956.8253504289</v>
      </c>
      <c r="K265" s="80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15.75" customHeight="1" x14ac:dyDescent="0.25">
      <c r="A266" s="62"/>
      <c r="B266" s="62"/>
      <c r="C266" s="76"/>
      <c r="D266" s="77"/>
      <c r="E266" s="62"/>
      <c r="F266" s="83">
        <f t="shared" si="18"/>
        <v>263</v>
      </c>
      <c r="G266" s="84">
        <f t="shared" si="19"/>
        <v>38985.432714993862</v>
      </c>
      <c r="H266" s="84">
        <f t="shared" si="20"/>
        <v>7275.599470648157</v>
      </c>
      <c r="I266" s="84">
        <f t="shared" si="21"/>
        <v>31709.833244345704</v>
      </c>
      <c r="J266" s="84">
        <f t="shared" si="22"/>
        <v>1302246.9921060833</v>
      </c>
      <c r="K266" s="80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15.75" customHeight="1" x14ac:dyDescent="0.25">
      <c r="A267" s="62"/>
      <c r="B267" s="62"/>
      <c r="C267" s="76"/>
      <c r="D267" s="77"/>
      <c r="E267" s="62"/>
      <c r="F267" s="83">
        <f t="shared" si="18"/>
        <v>264</v>
      </c>
      <c r="G267" s="84">
        <f t="shared" si="19"/>
        <v>38985.432714993862</v>
      </c>
      <c r="H267" s="84">
        <f t="shared" si="20"/>
        <v>7103.8378739079517</v>
      </c>
      <c r="I267" s="84">
        <f t="shared" si="21"/>
        <v>31881.594841085909</v>
      </c>
      <c r="J267" s="84">
        <f t="shared" si="22"/>
        <v>1270365.3972649975</v>
      </c>
      <c r="K267" s="80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15.75" customHeight="1" x14ac:dyDescent="0.25">
      <c r="A268" s="62"/>
      <c r="B268" s="62"/>
      <c r="C268" s="76"/>
      <c r="D268" s="77"/>
      <c r="E268" s="62"/>
      <c r="F268" s="83">
        <f t="shared" si="18"/>
        <v>265</v>
      </c>
      <c r="G268" s="84">
        <f t="shared" si="19"/>
        <v>38985.432714993862</v>
      </c>
      <c r="H268" s="84">
        <f t="shared" si="20"/>
        <v>6931.14590185207</v>
      </c>
      <c r="I268" s="84">
        <f t="shared" si="21"/>
        <v>32054.286813141793</v>
      </c>
      <c r="J268" s="84">
        <f t="shared" si="22"/>
        <v>1238311.1104518557</v>
      </c>
      <c r="K268" s="80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15.75" customHeight="1" x14ac:dyDescent="0.25">
      <c r="A269" s="62"/>
      <c r="B269" s="62"/>
      <c r="C269" s="76"/>
      <c r="D269" s="77"/>
      <c r="E269" s="62"/>
      <c r="F269" s="83">
        <f t="shared" si="18"/>
        <v>266</v>
      </c>
      <c r="G269" s="84">
        <f t="shared" si="19"/>
        <v>38985.432714993862</v>
      </c>
      <c r="H269" s="84">
        <f t="shared" si="20"/>
        <v>6757.5185149475519</v>
      </c>
      <c r="I269" s="84">
        <f t="shared" si="21"/>
        <v>32227.914200046311</v>
      </c>
      <c r="J269" s="84">
        <f t="shared" si="22"/>
        <v>1206083.1962518094</v>
      </c>
      <c r="K269" s="80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15.75" customHeight="1" x14ac:dyDescent="0.25">
      <c r="A270" s="62"/>
      <c r="B270" s="62"/>
      <c r="C270" s="76"/>
      <c r="D270" s="77"/>
      <c r="E270" s="62"/>
      <c r="F270" s="83">
        <f t="shared" si="18"/>
        <v>267</v>
      </c>
      <c r="G270" s="84">
        <f t="shared" si="19"/>
        <v>38985.432714993862</v>
      </c>
      <c r="H270" s="84">
        <f t="shared" si="20"/>
        <v>6582.9506463639673</v>
      </c>
      <c r="I270" s="84">
        <f t="shared" si="21"/>
        <v>32402.482068629895</v>
      </c>
      <c r="J270" s="84">
        <f t="shared" si="22"/>
        <v>1173680.7141831794</v>
      </c>
      <c r="K270" s="80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15.75" customHeight="1" x14ac:dyDescent="0.25">
      <c r="A271" s="62"/>
      <c r="B271" s="62"/>
      <c r="C271" s="76"/>
      <c r="D271" s="77"/>
      <c r="E271" s="62"/>
      <c r="F271" s="83">
        <f t="shared" si="18"/>
        <v>268</v>
      </c>
      <c r="G271" s="84">
        <f t="shared" si="19"/>
        <v>38985.432714993862</v>
      </c>
      <c r="H271" s="84">
        <f t="shared" si="20"/>
        <v>6407.4372018255553</v>
      </c>
      <c r="I271" s="84">
        <f t="shared" si="21"/>
        <v>32577.995513168305</v>
      </c>
      <c r="J271" s="84">
        <f t="shared" si="22"/>
        <v>1141102.718670011</v>
      </c>
      <c r="K271" s="80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15.75" customHeight="1" x14ac:dyDescent="0.25">
      <c r="A272" s="62"/>
      <c r="B272" s="62"/>
      <c r="C272" s="76"/>
      <c r="D272" s="77"/>
      <c r="E272" s="62"/>
      <c r="F272" s="83">
        <f t="shared" si="18"/>
        <v>269</v>
      </c>
      <c r="G272" s="84">
        <f t="shared" si="19"/>
        <v>38985.432714993862</v>
      </c>
      <c r="H272" s="84">
        <f t="shared" si="20"/>
        <v>6230.9730594625607</v>
      </c>
      <c r="I272" s="84">
        <f t="shared" si="21"/>
        <v>32754.4596555313</v>
      </c>
      <c r="J272" s="84">
        <f t="shared" si="22"/>
        <v>1108348.2590144798</v>
      </c>
      <c r="K272" s="80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15.75" customHeight="1" x14ac:dyDescent="0.25">
      <c r="A273" s="62"/>
      <c r="B273" s="62"/>
      <c r="C273" s="76"/>
      <c r="D273" s="77"/>
      <c r="E273" s="62"/>
      <c r="F273" s="83">
        <f t="shared" si="18"/>
        <v>270</v>
      </c>
      <c r="G273" s="84">
        <f t="shared" si="19"/>
        <v>38985.432714993862</v>
      </c>
      <c r="H273" s="84">
        <f t="shared" si="20"/>
        <v>6053.5530696617652</v>
      </c>
      <c r="I273" s="84">
        <f t="shared" si="21"/>
        <v>32931.879645332097</v>
      </c>
      <c r="J273" s="84">
        <f t="shared" si="22"/>
        <v>1075416.3793691478</v>
      </c>
      <c r="K273" s="80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15.75" customHeight="1" x14ac:dyDescent="0.25">
      <c r="A274" s="62"/>
      <c r="B274" s="62"/>
      <c r="C274" s="76"/>
      <c r="D274" s="77"/>
      <c r="E274" s="62"/>
      <c r="F274" s="83">
        <f t="shared" si="18"/>
        <v>271</v>
      </c>
      <c r="G274" s="84">
        <f t="shared" si="19"/>
        <v>38985.432714993862</v>
      </c>
      <c r="H274" s="84">
        <f t="shared" si="20"/>
        <v>5875.1720549162173</v>
      </c>
      <c r="I274" s="84">
        <f t="shared" si="21"/>
        <v>33110.260660077642</v>
      </c>
      <c r="J274" s="84">
        <f t="shared" si="22"/>
        <v>1042306.1187090701</v>
      </c>
      <c r="K274" s="80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15.75" customHeight="1" x14ac:dyDescent="0.25">
      <c r="A275" s="62"/>
      <c r="B275" s="62"/>
      <c r="C275" s="76"/>
      <c r="D275" s="77"/>
      <c r="E275" s="62"/>
      <c r="F275" s="83">
        <f t="shared" si="18"/>
        <v>272</v>
      </c>
      <c r="G275" s="84">
        <f t="shared" si="19"/>
        <v>38985.432714993862</v>
      </c>
      <c r="H275" s="84">
        <f t="shared" si="20"/>
        <v>5695.8248096741299</v>
      </c>
      <c r="I275" s="84">
        <f t="shared" si="21"/>
        <v>33289.607905319732</v>
      </c>
      <c r="J275" s="84">
        <f t="shared" si="22"/>
        <v>1009016.5108037504</v>
      </c>
      <c r="K275" s="80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15.75" customHeight="1" x14ac:dyDescent="0.25">
      <c r="A276" s="62"/>
      <c r="B276" s="62"/>
      <c r="C276" s="76"/>
      <c r="D276" s="77"/>
      <c r="E276" s="62"/>
      <c r="F276" s="83">
        <f t="shared" si="18"/>
        <v>273</v>
      </c>
      <c r="G276" s="84">
        <f t="shared" si="19"/>
        <v>38985.432714993862</v>
      </c>
      <c r="H276" s="84">
        <f t="shared" si="20"/>
        <v>5515.5061001869808</v>
      </c>
      <c r="I276" s="84">
        <f t="shared" si="21"/>
        <v>33469.926614806878</v>
      </c>
      <c r="J276" s="84">
        <f t="shared" si="22"/>
        <v>975546.5841889435</v>
      </c>
      <c r="K276" s="80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15.75" customHeight="1" x14ac:dyDescent="0.25">
      <c r="A277" s="62"/>
      <c r="B277" s="62"/>
      <c r="C277" s="76"/>
      <c r="D277" s="77"/>
      <c r="E277" s="62"/>
      <c r="F277" s="83">
        <f t="shared" si="18"/>
        <v>274</v>
      </c>
      <c r="G277" s="84">
        <f t="shared" si="19"/>
        <v>38985.432714993862</v>
      </c>
      <c r="H277" s="84">
        <f t="shared" si="20"/>
        <v>5334.2106643567777</v>
      </c>
      <c r="I277" s="84">
        <f t="shared" si="21"/>
        <v>33651.222050637087</v>
      </c>
      <c r="J277" s="84">
        <f t="shared" si="22"/>
        <v>941895.36213830637</v>
      </c>
      <c r="K277" s="80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15.75" customHeight="1" x14ac:dyDescent="0.25">
      <c r="A278" s="62"/>
      <c r="B278" s="62"/>
      <c r="C278" s="76"/>
      <c r="D278" s="77"/>
      <c r="E278" s="62"/>
      <c r="F278" s="83">
        <f t="shared" si="18"/>
        <v>275</v>
      </c>
      <c r="G278" s="84">
        <f t="shared" si="19"/>
        <v>38985.432714993862</v>
      </c>
      <c r="H278" s="84">
        <f t="shared" si="20"/>
        <v>5151.9332115824927</v>
      </c>
      <c r="I278" s="84">
        <f t="shared" si="21"/>
        <v>33833.499503411367</v>
      </c>
      <c r="J278" s="84">
        <f t="shared" si="22"/>
        <v>908061.86263489502</v>
      </c>
      <c r="K278" s="80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15.75" customHeight="1" x14ac:dyDescent="0.25">
      <c r="A279" s="62"/>
      <c r="B279" s="62"/>
      <c r="C279" s="76"/>
      <c r="D279" s="77"/>
      <c r="E279" s="62"/>
      <c r="F279" s="83">
        <f t="shared" si="18"/>
        <v>276</v>
      </c>
      <c r="G279" s="84">
        <f t="shared" si="19"/>
        <v>38985.432714993862</v>
      </c>
      <c r="H279" s="84">
        <f t="shared" si="20"/>
        <v>4968.6684226056814</v>
      </c>
      <c r="I279" s="84">
        <f t="shared" si="21"/>
        <v>34016.764292388179</v>
      </c>
      <c r="J279" s="84">
        <f t="shared" si="22"/>
        <v>874045.0983425068</v>
      </c>
      <c r="K279" s="80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15.75" customHeight="1" x14ac:dyDescent="0.25">
      <c r="A280" s="62"/>
      <c r="B280" s="62"/>
      <c r="C280" s="76"/>
      <c r="D280" s="77"/>
      <c r="E280" s="62"/>
      <c r="F280" s="83">
        <f t="shared" si="18"/>
        <v>277</v>
      </c>
      <c r="G280" s="84">
        <f t="shared" si="19"/>
        <v>38985.432714993862</v>
      </c>
      <c r="H280" s="84">
        <f t="shared" si="20"/>
        <v>4784.4109493552451</v>
      </c>
      <c r="I280" s="84">
        <f t="shared" si="21"/>
        <v>34201.021765638616</v>
      </c>
      <c r="J280" s="84">
        <f t="shared" si="22"/>
        <v>839844.07657686819</v>
      </c>
      <c r="K280" s="80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15.75" customHeight="1" x14ac:dyDescent="0.25">
      <c r="A281" s="62"/>
      <c r="B281" s="62"/>
      <c r="C281" s="76"/>
      <c r="D281" s="77"/>
      <c r="E281" s="62"/>
      <c r="F281" s="83">
        <f t="shared" si="18"/>
        <v>278</v>
      </c>
      <c r="G281" s="84">
        <f t="shared" si="19"/>
        <v>38985.432714993862</v>
      </c>
      <c r="H281" s="84">
        <f t="shared" si="20"/>
        <v>4599.1554147913694</v>
      </c>
      <c r="I281" s="84">
        <f t="shared" si="21"/>
        <v>34386.277300202491</v>
      </c>
      <c r="J281" s="84">
        <f t="shared" si="22"/>
        <v>805457.79927666567</v>
      </c>
      <c r="K281" s="80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15.75" customHeight="1" x14ac:dyDescent="0.25">
      <c r="A282" s="62"/>
      <c r="B282" s="62"/>
      <c r="C282" s="76"/>
      <c r="D282" s="77"/>
      <c r="E282" s="62"/>
      <c r="F282" s="83">
        <f t="shared" si="18"/>
        <v>279</v>
      </c>
      <c r="G282" s="84">
        <f t="shared" si="19"/>
        <v>38985.432714993862</v>
      </c>
      <c r="H282" s="84">
        <f t="shared" si="20"/>
        <v>4412.8964127486061</v>
      </c>
      <c r="I282" s="84">
        <f t="shared" si="21"/>
        <v>34572.536302245258</v>
      </c>
      <c r="J282" s="84">
        <f t="shared" si="22"/>
        <v>770885.26297442045</v>
      </c>
      <c r="K282" s="80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15.75" customHeight="1" x14ac:dyDescent="0.25">
      <c r="A283" s="62"/>
      <c r="B283" s="62"/>
      <c r="C283" s="76"/>
      <c r="D283" s="77"/>
      <c r="E283" s="62"/>
      <c r="F283" s="83">
        <f t="shared" si="18"/>
        <v>280</v>
      </c>
      <c r="G283" s="84">
        <f t="shared" si="19"/>
        <v>38985.432714993862</v>
      </c>
      <c r="H283" s="84">
        <f t="shared" si="20"/>
        <v>4225.6285077781113</v>
      </c>
      <c r="I283" s="84">
        <f t="shared" si="21"/>
        <v>34759.804207215748</v>
      </c>
      <c r="J283" s="84">
        <f t="shared" si="22"/>
        <v>736125.45876720466</v>
      </c>
      <c r="K283" s="80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15.75" customHeight="1" x14ac:dyDescent="0.25">
      <c r="A284" s="62"/>
      <c r="B284" s="62"/>
      <c r="C284" s="76"/>
      <c r="D284" s="77"/>
      <c r="E284" s="62"/>
      <c r="F284" s="83">
        <f t="shared" si="18"/>
        <v>281</v>
      </c>
      <c r="G284" s="84">
        <f t="shared" si="19"/>
        <v>38985.432714993862</v>
      </c>
      <c r="H284" s="84">
        <f t="shared" si="20"/>
        <v>4037.3462349890251</v>
      </c>
      <c r="I284" s="84">
        <f t="shared" si="21"/>
        <v>34948.086480004837</v>
      </c>
      <c r="J284" s="84">
        <f t="shared" si="22"/>
        <v>701177.37228719983</v>
      </c>
      <c r="K284" s="80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15.75" customHeight="1" x14ac:dyDescent="0.25">
      <c r="A285" s="62"/>
      <c r="B285" s="62"/>
      <c r="C285" s="76"/>
      <c r="D285" s="77"/>
      <c r="E285" s="62"/>
      <c r="F285" s="83">
        <f t="shared" si="18"/>
        <v>282</v>
      </c>
      <c r="G285" s="84">
        <f t="shared" si="19"/>
        <v>38985.432714993862</v>
      </c>
      <c r="H285" s="84">
        <f t="shared" si="20"/>
        <v>3848.044099888999</v>
      </c>
      <c r="I285" s="84">
        <f t="shared" si="21"/>
        <v>35137.388615104865</v>
      </c>
      <c r="J285" s="84">
        <f t="shared" si="22"/>
        <v>666039.983672095</v>
      </c>
      <c r="K285" s="80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15.75" customHeight="1" x14ac:dyDescent="0.25">
      <c r="A286" s="62"/>
      <c r="B286" s="62"/>
      <c r="C286" s="76"/>
      <c r="D286" s="77"/>
      <c r="E286" s="62"/>
      <c r="F286" s="83">
        <f t="shared" si="18"/>
        <v>283</v>
      </c>
      <c r="G286" s="84">
        <f t="shared" si="19"/>
        <v>38985.432714993862</v>
      </c>
      <c r="H286" s="84">
        <f t="shared" si="20"/>
        <v>3657.716578223848</v>
      </c>
      <c r="I286" s="84">
        <f t="shared" si="21"/>
        <v>35327.716136770017</v>
      </c>
      <c r="J286" s="84">
        <f t="shared" si="22"/>
        <v>630712.26753532502</v>
      </c>
      <c r="K286" s="80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15.75" customHeight="1" x14ac:dyDescent="0.25">
      <c r="A287" s="62"/>
      <c r="B287" s="62"/>
      <c r="C287" s="76"/>
      <c r="D287" s="77"/>
      <c r="E287" s="62"/>
      <c r="F287" s="83">
        <f t="shared" si="18"/>
        <v>284</v>
      </c>
      <c r="G287" s="84">
        <f t="shared" si="19"/>
        <v>38985.432714993862</v>
      </c>
      <c r="H287" s="84">
        <f t="shared" si="20"/>
        <v>3466.3581158163438</v>
      </c>
      <c r="I287" s="84">
        <f t="shared" si="21"/>
        <v>35519.074599177518</v>
      </c>
      <c r="J287" s="84">
        <f t="shared" si="22"/>
        <v>595193.19293614756</v>
      </c>
      <c r="K287" s="80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15.75" customHeight="1" x14ac:dyDescent="0.25">
      <c r="A288" s="62"/>
      <c r="B288" s="62"/>
      <c r="C288" s="76"/>
      <c r="D288" s="77"/>
      <c r="E288" s="62"/>
      <c r="F288" s="83">
        <f t="shared" si="18"/>
        <v>285</v>
      </c>
      <c r="G288" s="84">
        <f t="shared" si="19"/>
        <v>38985.432714993862</v>
      </c>
      <c r="H288" s="84">
        <f t="shared" si="20"/>
        <v>3273.9631284041329</v>
      </c>
      <c r="I288" s="84">
        <f t="shared" si="21"/>
        <v>35711.46958658973</v>
      </c>
      <c r="J288" s="84">
        <f t="shared" si="22"/>
        <v>559481.72334955784</v>
      </c>
      <c r="K288" s="80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15.75" customHeight="1" x14ac:dyDescent="0.25">
      <c r="A289" s="62"/>
      <c r="B289" s="62"/>
      <c r="C289" s="76"/>
      <c r="D289" s="77"/>
      <c r="E289" s="62"/>
      <c r="F289" s="83">
        <f t="shared" si="18"/>
        <v>286</v>
      </c>
      <c r="G289" s="84">
        <f t="shared" si="19"/>
        <v>38985.432714993862</v>
      </c>
      <c r="H289" s="84">
        <f t="shared" si="20"/>
        <v>3080.5260014767719</v>
      </c>
      <c r="I289" s="84">
        <f t="shared" si="21"/>
        <v>35904.906713517092</v>
      </c>
      <c r="J289" s="84">
        <f t="shared" si="22"/>
        <v>523576.81663604075</v>
      </c>
      <c r="K289" s="80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15.75" customHeight="1" x14ac:dyDescent="0.25">
      <c r="A290" s="62"/>
      <c r="B290" s="62"/>
      <c r="C290" s="76"/>
      <c r="D290" s="77"/>
      <c r="E290" s="62"/>
      <c r="F290" s="83">
        <f t="shared" si="18"/>
        <v>287</v>
      </c>
      <c r="G290" s="84">
        <f t="shared" si="19"/>
        <v>38985.432714993862</v>
      </c>
      <c r="H290" s="84">
        <f t="shared" si="20"/>
        <v>2886.0410901118871</v>
      </c>
      <c r="I290" s="84">
        <f t="shared" si="21"/>
        <v>36099.391624881973</v>
      </c>
      <c r="J290" s="84">
        <f t="shared" si="22"/>
        <v>487477.4250111588</v>
      </c>
      <c r="K290" s="80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15.75" customHeight="1" x14ac:dyDescent="0.25">
      <c r="A291" s="62"/>
      <c r="B291" s="62"/>
      <c r="C291" s="76"/>
      <c r="D291" s="77"/>
      <c r="E291" s="62"/>
      <c r="F291" s="83">
        <f t="shared" si="18"/>
        <v>288</v>
      </c>
      <c r="G291" s="84">
        <f t="shared" si="19"/>
        <v>38985.432714993862</v>
      </c>
      <c r="H291" s="84">
        <f t="shared" si="20"/>
        <v>2690.5027188104436</v>
      </c>
      <c r="I291" s="84">
        <f t="shared" si="21"/>
        <v>36294.929996183419</v>
      </c>
      <c r="J291" s="84">
        <f t="shared" si="22"/>
        <v>451182.49501497537</v>
      </c>
      <c r="K291" s="80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15.75" customHeight="1" x14ac:dyDescent="0.25">
      <c r="A292" s="62"/>
      <c r="B292" s="62"/>
      <c r="C292" s="76"/>
      <c r="D292" s="77"/>
      <c r="E292" s="62"/>
      <c r="F292" s="83">
        <f t="shared" si="18"/>
        <v>289</v>
      </c>
      <c r="G292" s="84">
        <f t="shared" si="19"/>
        <v>38985.432714993862</v>
      </c>
      <c r="H292" s="84">
        <f t="shared" si="20"/>
        <v>2493.9051813311166</v>
      </c>
      <c r="I292" s="84">
        <f t="shared" si="21"/>
        <v>36491.527533662746</v>
      </c>
      <c r="J292" s="84">
        <f t="shared" si="22"/>
        <v>414690.96748131263</v>
      </c>
      <c r="K292" s="80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15.75" customHeight="1" x14ac:dyDescent="0.25">
      <c r="A293" s="62"/>
      <c r="B293" s="62"/>
      <c r="C293" s="76"/>
      <c r="D293" s="77"/>
      <c r="E293" s="62"/>
      <c r="F293" s="83">
        <f t="shared" si="18"/>
        <v>290</v>
      </c>
      <c r="G293" s="84">
        <f t="shared" si="19"/>
        <v>38985.432714993862</v>
      </c>
      <c r="H293" s="84">
        <f t="shared" si="20"/>
        <v>2296.2427405237768</v>
      </c>
      <c r="I293" s="84">
        <f t="shared" si="21"/>
        <v>36689.189974470086</v>
      </c>
      <c r="J293" s="84">
        <f t="shared" si="22"/>
        <v>378001.77750684257</v>
      </c>
      <c r="K293" s="80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15.75" customHeight="1" x14ac:dyDescent="0.25">
      <c r="A294" s="62"/>
      <c r="B294" s="62"/>
      <c r="C294" s="76"/>
      <c r="D294" s="77"/>
      <c r="E294" s="62"/>
      <c r="F294" s="83">
        <f t="shared" si="18"/>
        <v>291</v>
      </c>
      <c r="G294" s="84">
        <f t="shared" si="19"/>
        <v>38985.432714993862</v>
      </c>
      <c r="H294" s="84">
        <f t="shared" si="20"/>
        <v>2097.5096281620636</v>
      </c>
      <c r="I294" s="84">
        <f t="shared" si="21"/>
        <v>36887.923086831797</v>
      </c>
      <c r="J294" s="84">
        <f t="shared" si="22"/>
        <v>341113.85442001076</v>
      </c>
      <c r="K294" s="80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15.75" customHeight="1" x14ac:dyDescent="0.25">
      <c r="A295" s="62"/>
      <c r="B295" s="62"/>
      <c r="C295" s="76"/>
      <c r="D295" s="77"/>
      <c r="E295" s="62"/>
      <c r="F295" s="83">
        <f t="shared" si="18"/>
        <v>292</v>
      </c>
      <c r="G295" s="84">
        <f t="shared" si="19"/>
        <v>38985.432714993862</v>
      </c>
      <c r="H295" s="84">
        <f t="shared" si="20"/>
        <v>1897.7000447750581</v>
      </c>
      <c r="I295" s="84">
        <f t="shared" si="21"/>
        <v>37087.7326702188</v>
      </c>
      <c r="J295" s="84">
        <f t="shared" si="22"/>
        <v>304026.12174979196</v>
      </c>
      <c r="K295" s="80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15.75" customHeight="1" x14ac:dyDescent="0.25">
      <c r="A296" s="62"/>
      <c r="B296" s="62"/>
      <c r="C296" s="76"/>
      <c r="D296" s="77"/>
      <c r="E296" s="62"/>
      <c r="F296" s="83">
        <f t="shared" si="18"/>
        <v>293</v>
      </c>
      <c r="G296" s="84">
        <f t="shared" si="19"/>
        <v>38985.432714993862</v>
      </c>
      <c r="H296" s="84">
        <f t="shared" si="20"/>
        <v>1696.8081594780399</v>
      </c>
      <c r="I296" s="84">
        <f t="shared" si="21"/>
        <v>37288.624555515824</v>
      </c>
      <c r="J296" s="84">
        <f t="shared" si="22"/>
        <v>266737.49719427613</v>
      </c>
      <c r="K296" s="80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15.75" customHeight="1" x14ac:dyDescent="0.25">
      <c r="A297" s="62"/>
      <c r="B297" s="62"/>
      <c r="C297" s="76"/>
      <c r="D297" s="77"/>
      <c r="E297" s="62"/>
      <c r="F297" s="83">
        <f t="shared" si="18"/>
        <v>294</v>
      </c>
      <c r="G297" s="84">
        <f t="shared" si="19"/>
        <v>38985.432714993862</v>
      </c>
      <c r="H297" s="84">
        <f t="shared" si="20"/>
        <v>1494.828109802329</v>
      </c>
      <c r="I297" s="84">
        <f t="shared" si="21"/>
        <v>37490.604605191533</v>
      </c>
      <c r="J297" s="84">
        <f t="shared" si="22"/>
        <v>229246.8925890846</v>
      </c>
      <c r="K297" s="80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15.75" customHeight="1" x14ac:dyDescent="0.25">
      <c r="A298" s="62"/>
      <c r="B298" s="62"/>
      <c r="C298" s="76"/>
      <c r="D298" s="77"/>
      <c r="E298" s="62"/>
      <c r="F298" s="83">
        <f t="shared" si="18"/>
        <v>295</v>
      </c>
      <c r="G298" s="84">
        <f t="shared" si="19"/>
        <v>38985.432714993862</v>
      </c>
      <c r="H298" s="84">
        <f t="shared" si="20"/>
        <v>1291.7540015242082</v>
      </c>
      <c r="I298" s="84">
        <f t="shared" si="21"/>
        <v>37693.678713469657</v>
      </c>
      <c r="J298" s="84">
        <f t="shared" si="22"/>
        <v>191553.21387561495</v>
      </c>
      <c r="K298" s="80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15.75" customHeight="1" x14ac:dyDescent="0.25">
      <c r="A299" s="62"/>
      <c r="B299" s="62"/>
      <c r="C299" s="76"/>
      <c r="D299" s="77"/>
      <c r="E299" s="62"/>
      <c r="F299" s="83">
        <f t="shared" si="18"/>
        <v>296</v>
      </c>
      <c r="G299" s="84">
        <f t="shared" si="19"/>
        <v>38985.432714993862</v>
      </c>
      <c r="H299" s="84">
        <f t="shared" si="20"/>
        <v>1087.5799084929142</v>
      </c>
      <c r="I299" s="84">
        <f t="shared" si="21"/>
        <v>37897.852806500945</v>
      </c>
      <c r="J299" s="84">
        <f t="shared" si="22"/>
        <v>153655.36106911401</v>
      </c>
      <c r="K299" s="80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15.75" customHeight="1" x14ac:dyDescent="0.25">
      <c r="A300" s="62"/>
      <c r="B300" s="62"/>
      <c r="C300" s="76"/>
      <c r="D300" s="77"/>
      <c r="E300" s="62"/>
      <c r="F300" s="83">
        <f t="shared" si="18"/>
        <v>297</v>
      </c>
      <c r="G300" s="84">
        <f t="shared" si="19"/>
        <v>38985.432714993862</v>
      </c>
      <c r="H300" s="84">
        <f t="shared" si="20"/>
        <v>882.29987245770087</v>
      </c>
      <c r="I300" s="84">
        <f t="shared" si="21"/>
        <v>38103.132842536164</v>
      </c>
      <c r="J300" s="84">
        <f t="shared" si="22"/>
        <v>115552.22822657783</v>
      </c>
      <c r="K300" s="80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15.75" customHeight="1" x14ac:dyDescent="0.25">
      <c r="A301" s="62"/>
      <c r="B301" s="62"/>
      <c r="C301" s="76"/>
      <c r="D301" s="77"/>
      <c r="E301" s="62"/>
      <c r="F301" s="83">
        <f t="shared" si="18"/>
        <v>298</v>
      </c>
      <c r="G301" s="84">
        <f t="shared" si="19"/>
        <v>38985.432714993862</v>
      </c>
      <c r="H301" s="84">
        <f t="shared" si="20"/>
        <v>675.9079028939633</v>
      </c>
      <c r="I301" s="84">
        <f t="shared" si="21"/>
        <v>38309.524812099895</v>
      </c>
      <c r="J301" s="84">
        <f t="shared" si="22"/>
        <v>77242.703414477932</v>
      </c>
      <c r="K301" s="80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15.75" customHeight="1" x14ac:dyDescent="0.25">
      <c r="A302" s="62"/>
      <c r="B302" s="62"/>
      <c r="C302" s="76"/>
      <c r="D302" s="77"/>
      <c r="E302" s="62"/>
      <c r="F302" s="83">
        <f t="shared" si="18"/>
        <v>299</v>
      </c>
      <c r="G302" s="84">
        <f t="shared" si="19"/>
        <v>38985.432714993862</v>
      </c>
      <c r="H302" s="84">
        <f t="shared" si="20"/>
        <v>468.39797682842214</v>
      </c>
      <c r="I302" s="84">
        <f t="shared" si="21"/>
        <v>38517.034738165443</v>
      </c>
      <c r="J302" s="84">
        <f t="shared" si="22"/>
        <v>38725.668676312489</v>
      </c>
      <c r="K302" s="80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15.75" customHeight="1" x14ac:dyDescent="0.25">
      <c r="A303" s="62"/>
      <c r="B303" s="62"/>
      <c r="C303" s="76"/>
      <c r="D303" s="77"/>
      <c r="E303" s="62"/>
      <c r="F303" s="83">
        <f t="shared" si="18"/>
        <v>300</v>
      </c>
      <c r="G303" s="84">
        <f t="shared" si="19"/>
        <v>38985.432714975846</v>
      </c>
      <c r="H303" s="84">
        <f t="shared" si="20"/>
        <v>259.76403866335932</v>
      </c>
      <c r="I303" s="84">
        <f t="shared" si="21"/>
        <v>38725.668676312489</v>
      </c>
      <c r="J303" s="84">
        <f t="shared" si="22"/>
        <v>0</v>
      </c>
      <c r="K303" s="80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15.75" customHeight="1" x14ac:dyDescent="0.25">
      <c r="A304" s="62"/>
      <c r="B304" s="62"/>
      <c r="C304" s="76"/>
      <c r="D304" s="77"/>
      <c r="E304" s="62"/>
      <c r="F304" s="83" t="str">
        <f t="shared" si="18"/>
        <v/>
      </c>
      <c r="G304" s="84" t="str">
        <f t="shared" si="19"/>
        <v/>
      </c>
      <c r="H304" s="84" t="str">
        <f t="shared" si="20"/>
        <v/>
      </c>
      <c r="I304" s="84" t="str">
        <f t="shared" si="21"/>
        <v/>
      </c>
      <c r="J304" s="84" t="str">
        <f t="shared" si="22"/>
        <v/>
      </c>
      <c r="K304" s="80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15.75" customHeight="1" x14ac:dyDescent="0.25">
      <c r="A305" s="62"/>
      <c r="B305" s="62"/>
      <c r="C305" s="76"/>
      <c r="D305" s="77"/>
      <c r="E305" s="62"/>
      <c r="F305" s="83" t="str">
        <f t="shared" si="18"/>
        <v/>
      </c>
      <c r="G305" s="84" t="str">
        <f t="shared" si="19"/>
        <v/>
      </c>
      <c r="H305" s="84" t="str">
        <f t="shared" si="20"/>
        <v/>
      </c>
      <c r="I305" s="84" t="str">
        <f t="shared" si="21"/>
        <v/>
      </c>
      <c r="J305" s="84" t="str">
        <f t="shared" si="22"/>
        <v/>
      </c>
      <c r="K305" s="80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15.75" customHeight="1" x14ac:dyDescent="0.25">
      <c r="A306" s="62"/>
      <c r="B306" s="62"/>
      <c r="C306" s="76"/>
      <c r="D306" s="77"/>
      <c r="E306" s="62"/>
      <c r="F306" s="83" t="str">
        <f t="shared" si="18"/>
        <v/>
      </c>
      <c r="G306" s="84" t="str">
        <f t="shared" si="19"/>
        <v/>
      </c>
      <c r="H306" s="84" t="str">
        <f t="shared" si="20"/>
        <v/>
      </c>
      <c r="I306" s="84" t="str">
        <f t="shared" si="21"/>
        <v/>
      </c>
      <c r="J306" s="84" t="str">
        <f t="shared" si="22"/>
        <v/>
      </c>
      <c r="K306" s="80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15.75" customHeight="1" x14ac:dyDescent="0.25">
      <c r="A307" s="62"/>
      <c r="B307" s="62"/>
      <c r="C307" s="76"/>
      <c r="D307" s="77"/>
      <c r="E307" s="62"/>
      <c r="F307" s="83" t="str">
        <f t="shared" si="18"/>
        <v/>
      </c>
      <c r="G307" s="84" t="str">
        <f t="shared" si="19"/>
        <v/>
      </c>
      <c r="H307" s="84" t="str">
        <f t="shared" si="20"/>
        <v/>
      </c>
      <c r="I307" s="84" t="str">
        <f t="shared" si="21"/>
        <v/>
      </c>
      <c r="J307" s="84" t="str">
        <f t="shared" si="22"/>
        <v/>
      </c>
      <c r="K307" s="80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15.75" customHeight="1" x14ac:dyDescent="0.25">
      <c r="A308" s="62"/>
      <c r="B308" s="62"/>
      <c r="C308" s="76"/>
      <c r="D308" s="77"/>
      <c r="E308" s="62"/>
      <c r="F308" s="83" t="str">
        <f t="shared" si="18"/>
        <v/>
      </c>
      <c r="G308" s="84" t="str">
        <f t="shared" si="19"/>
        <v/>
      </c>
      <c r="H308" s="84" t="str">
        <f t="shared" si="20"/>
        <v/>
      </c>
      <c r="I308" s="84" t="str">
        <f t="shared" si="21"/>
        <v/>
      </c>
      <c r="J308" s="84" t="str">
        <f t="shared" si="22"/>
        <v/>
      </c>
      <c r="K308" s="80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15.75" customHeight="1" x14ac:dyDescent="0.25">
      <c r="A309" s="62"/>
      <c r="B309" s="62"/>
      <c r="C309" s="76"/>
      <c r="D309" s="77"/>
      <c r="E309" s="62"/>
      <c r="F309" s="83" t="str">
        <f t="shared" si="18"/>
        <v/>
      </c>
      <c r="G309" s="84" t="str">
        <f t="shared" si="19"/>
        <v/>
      </c>
      <c r="H309" s="84" t="str">
        <f t="shared" si="20"/>
        <v/>
      </c>
      <c r="I309" s="84" t="str">
        <f t="shared" si="21"/>
        <v/>
      </c>
      <c r="J309" s="84" t="str">
        <f t="shared" si="22"/>
        <v/>
      </c>
      <c r="K309" s="80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15.75" customHeight="1" x14ac:dyDescent="0.25">
      <c r="A310" s="62"/>
      <c r="B310" s="62"/>
      <c r="C310" s="76"/>
      <c r="D310" s="77"/>
      <c r="E310" s="62"/>
      <c r="F310" s="83" t="str">
        <f t="shared" si="18"/>
        <v/>
      </c>
      <c r="G310" s="84" t="str">
        <f t="shared" si="19"/>
        <v/>
      </c>
      <c r="H310" s="84" t="str">
        <f t="shared" si="20"/>
        <v/>
      </c>
      <c r="I310" s="84" t="str">
        <f t="shared" si="21"/>
        <v/>
      </c>
      <c r="J310" s="84" t="str">
        <f t="shared" si="22"/>
        <v/>
      </c>
      <c r="K310" s="80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15.75" customHeight="1" x14ac:dyDescent="0.25">
      <c r="A311" s="62"/>
      <c r="B311" s="62"/>
      <c r="C311" s="76"/>
      <c r="D311" s="77"/>
      <c r="E311" s="62"/>
      <c r="F311" s="83" t="str">
        <f t="shared" si="18"/>
        <v/>
      </c>
      <c r="G311" s="84" t="str">
        <f t="shared" si="19"/>
        <v/>
      </c>
      <c r="H311" s="84" t="str">
        <f t="shared" si="20"/>
        <v/>
      </c>
      <c r="I311" s="84" t="str">
        <f t="shared" si="21"/>
        <v/>
      </c>
      <c r="J311" s="84" t="str">
        <f t="shared" si="22"/>
        <v/>
      </c>
      <c r="K311" s="80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15.75" customHeight="1" x14ac:dyDescent="0.25">
      <c r="A312" s="62"/>
      <c r="B312" s="62"/>
      <c r="C312" s="76"/>
      <c r="D312" s="77"/>
      <c r="E312" s="62"/>
      <c r="F312" s="83" t="str">
        <f t="shared" si="18"/>
        <v/>
      </c>
      <c r="G312" s="84" t="str">
        <f t="shared" si="19"/>
        <v/>
      </c>
      <c r="H312" s="84" t="str">
        <f t="shared" si="20"/>
        <v/>
      </c>
      <c r="I312" s="84" t="str">
        <f t="shared" si="21"/>
        <v/>
      </c>
      <c r="J312" s="84" t="str">
        <f t="shared" si="22"/>
        <v/>
      </c>
      <c r="K312" s="80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15.75" customHeight="1" x14ac:dyDescent="0.25">
      <c r="A313" s="62"/>
      <c r="B313" s="62"/>
      <c r="C313" s="76"/>
      <c r="D313" s="77"/>
      <c r="E313" s="62"/>
      <c r="F313" s="83" t="str">
        <f t="shared" si="18"/>
        <v/>
      </c>
      <c r="G313" s="84" t="str">
        <f t="shared" si="19"/>
        <v/>
      </c>
      <c r="H313" s="84" t="str">
        <f t="shared" si="20"/>
        <v/>
      </c>
      <c r="I313" s="84" t="str">
        <f t="shared" si="21"/>
        <v/>
      </c>
      <c r="J313" s="84" t="str">
        <f t="shared" si="22"/>
        <v/>
      </c>
      <c r="K313" s="80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15.75" customHeight="1" x14ac:dyDescent="0.25">
      <c r="A314" s="62"/>
      <c r="B314" s="62"/>
      <c r="C314" s="76"/>
      <c r="D314" s="77"/>
      <c r="E314" s="62"/>
      <c r="F314" s="83" t="str">
        <f t="shared" si="18"/>
        <v/>
      </c>
      <c r="G314" s="84" t="str">
        <f t="shared" si="19"/>
        <v/>
      </c>
      <c r="H314" s="84" t="str">
        <f t="shared" si="20"/>
        <v/>
      </c>
      <c r="I314" s="84" t="str">
        <f t="shared" si="21"/>
        <v/>
      </c>
      <c r="J314" s="84" t="str">
        <f t="shared" si="22"/>
        <v/>
      </c>
      <c r="K314" s="80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15.75" customHeight="1" x14ac:dyDescent="0.25">
      <c r="A315" s="62"/>
      <c r="B315" s="62"/>
      <c r="C315" s="76"/>
      <c r="D315" s="77"/>
      <c r="E315" s="62"/>
      <c r="F315" s="83" t="str">
        <f t="shared" si="18"/>
        <v/>
      </c>
      <c r="G315" s="84" t="str">
        <f t="shared" si="19"/>
        <v/>
      </c>
      <c r="H315" s="84" t="str">
        <f t="shared" si="20"/>
        <v/>
      </c>
      <c r="I315" s="84" t="str">
        <f t="shared" si="21"/>
        <v/>
      </c>
      <c r="J315" s="84" t="str">
        <f t="shared" si="22"/>
        <v/>
      </c>
      <c r="K315" s="80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15.75" customHeight="1" x14ac:dyDescent="0.25">
      <c r="A316" s="62"/>
      <c r="B316" s="62"/>
      <c r="C316" s="76"/>
      <c r="D316" s="77"/>
      <c r="E316" s="62"/>
      <c r="F316" s="83" t="str">
        <f t="shared" si="18"/>
        <v/>
      </c>
      <c r="G316" s="84" t="str">
        <f t="shared" si="19"/>
        <v/>
      </c>
      <c r="H316" s="84" t="str">
        <f t="shared" si="20"/>
        <v/>
      </c>
      <c r="I316" s="84" t="str">
        <f t="shared" si="21"/>
        <v/>
      </c>
      <c r="J316" s="84" t="str">
        <f t="shared" si="22"/>
        <v/>
      </c>
      <c r="K316" s="80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15.75" customHeight="1" x14ac:dyDescent="0.25">
      <c r="A317" s="62"/>
      <c r="B317" s="62"/>
      <c r="C317" s="76"/>
      <c r="D317" s="77"/>
      <c r="E317" s="62"/>
      <c r="F317" s="83" t="str">
        <f t="shared" si="18"/>
        <v/>
      </c>
      <c r="G317" s="84" t="str">
        <f t="shared" si="19"/>
        <v/>
      </c>
      <c r="H317" s="84" t="str">
        <f t="shared" si="20"/>
        <v/>
      </c>
      <c r="I317" s="84" t="str">
        <f t="shared" si="21"/>
        <v/>
      </c>
      <c r="J317" s="84" t="str">
        <f t="shared" si="22"/>
        <v/>
      </c>
      <c r="K317" s="80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15.75" customHeight="1" x14ac:dyDescent="0.25">
      <c r="A318" s="62"/>
      <c r="B318" s="62"/>
      <c r="C318" s="76"/>
      <c r="D318" s="77"/>
      <c r="E318" s="62"/>
      <c r="F318" s="83" t="str">
        <f t="shared" si="18"/>
        <v/>
      </c>
      <c r="G318" s="84" t="str">
        <f t="shared" si="19"/>
        <v/>
      </c>
      <c r="H318" s="84" t="str">
        <f t="shared" si="20"/>
        <v/>
      </c>
      <c r="I318" s="84" t="str">
        <f t="shared" si="21"/>
        <v/>
      </c>
      <c r="J318" s="84" t="str">
        <f t="shared" si="22"/>
        <v/>
      </c>
      <c r="K318" s="80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15.75" customHeight="1" x14ac:dyDescent="0.25">
      <c r="A319" s="62"/>
      <c r="B319" s="62"/>
      <c r="C319" s="76"/>
      <c r="D319" s="77"/>
      <c r="E319" s="62"/>
      <c r="F319" s="83" t="str">
        <f t="shared" si="18"/>
        <v/>
      </c>
      <c r="G319" s="84" t="str">
        <f t="shared" si="19"/>
        <v/>
      </c>
      <c r="H319" s="84" t="str">
        <f t="shared" si="20"/>
        <v/>
      </c>
      <c r="I319" s="84" t="str">
        <f t="shared" si="21"/>
        <v/>
      </c>
      <c r="J319" s="84" t="str">
        <f t="shared" si="22"/>
        <v/>
      </c>
      <c r="K319" s="80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15.75" customHeight="1" x14ac:dyDescent="0.25">
      <c r="A320" s="62"/>
      <c r="B320" s="62"/>
      <c r="C320" s="76"/>
      <c r="D320" s="77"/>
      <c r="E320" s="62"/>
      <c r="F320" s="83" t="str">
        <f t="shared" si="18"/>
        <v/>
      </c>
      <c r="G320" s="84" t="str">
        <f t="shared" si="19"/>
        <v/>
      </c>
      <c r="H320" s="84" t="str">
        <f t="shared" si="20"/>
        <v/>
      </c>
      <c r="I320" s="84" t="str">
        <f t="shared" si="21"/>
        <v/>
      </c>
      <c r="J320" s="84" t="str">
        <f t="shared" si="22"/>
        <v/>
      </c>
      <c r="K320" s="80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15.75" customHeight="1" x14ac:dyDescent="0.25">
      <c r="A321" s="62"/>
      <c r="B321" s="62"/>
      <c r="C321" s="76"/>
      <c r="D321" s="77"/>
      <c r="E321" s="62"/>
      <c r="F321" s="83" t="str">
        <f t="shared" si="18"/>
        <v/>
      </c>
      <c r="G321" s="84" t="str">
        <f t="shared" si="19"/>
        <v/>
      </c>
      <c r="H321" s="84" t="str">
        <f t="shared" si="20"/>
        <v/>
      </c>
      <c r="I321" s="84" t="str">
        <f t="shared" si="21"/>
        <v/>
      </c>
      <c r="J321" s="84" t="str">
        <f t="shared" si="22"/>
        <v/>
      </c>
      <c r="K321" s="80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15.75" customHeight="1" x14ac:dyDescent="0.25">
      <c r="A322" s="62"/>
      <c r="B322" s="62"/>
      <c r="C322" s="76"/>
      <c r="D322" s="77"/>
      <c r="E322" s="62"/>
      <c r="F322" s="83" t="str">
        <f t="shared" si="18"/>
        <v/>
      </c>
      <c r="G322" s="84" t="str">
        <f t="shared" si="19"/>
        <v/>
      </c>
      <c r="H322" s="84" t="str">
        <f t="shared" si="20"/>
        <v/>
      </c>
      <c r="I322" s="84" t="str">
        <f t="shared" si="21"/>
        <v/>
      </c>
      <c r="J322" s="84" t="str">
        <f t="shared" si="22"/>
        <v/>
      </c>
      <c r="K322" s="80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15.75" customHeight="1" x14ac:dyDescent="0.25">
      <c r="A323" s="62"/>
      <c r="B323" s="62"/>
      <c r="C323" s="76"/>
      <c r="D323" s="77"/>
      <c r="E323" s="62"/>
      <c r="F323" s="83" t="str">
        <f t="shared" si="18"/>
        <v/>
      </c>
      <c r="G323" s="84" t="str">
        <f t="shared" si="19"/>
        <v/>
      </c>
      <c r="H323" s="84" t="str">
        <f t="shared" si="20"/>
        <v/>
      </c>
      <c r="I323" s="84" t="str">
        <f t="shared" si="21"/>
        <v/>
      </c>
      <c r="J323" s="84" t="str">
        <f t="shared" si="22"/>
        <v/>
      </c>
      <c r="K323" s="80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15.75" customHeight="1" x14ac:dyDescent="0.25">
      <c r="A324" s="62"/>
      <c r="B324" s="62"/>
      <c r="C324" s="76"/>
      <c r="D324" s="77"/>
      <c r="E324" s="62"/>
      <c r="F324" s="83" t="str">
        <f t="shared" si="18"/>
        <v/>
      </c>
      <c r="G324" s="84" t="str">
        <f t="shared" si="19"/>
        <v/>
      </c>
      <c r="H324" s="84" t="str">
        <f t="shared" si="20"/>
        <v/>
      </c>
      <c r="I324" s="84" t="str">
        <f t="shared" si="21"/>
        <v/>
      </c>
      <c r="J324" s="84" t="str">
        <f t="shared" si="22"/>
        <v/>
      </c>
      <c r="K324" s="80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15.75" customHeight="1" x14ac:dyDescent="0.25">
      <c r="A325" s="62"/>
      <c r="B325" s="62"/>
      <c r="C325" s="76"/>
      <c r="D325" s="77"/>
      <c r="E325" s="62"/>
      <c r="F325" s="83" t="str">
        <f t="shared" si="18"/>
        <v/>
      </c>
      <c r="G325" s="84" t="str">
        <f t="shared" si="19"/>
        <v/>
      </c>
      <c r="H325" s="84" t="str">
        <f t="shared" si="20"/>
        <v/>
      </c>
      <c r="I325" s="84" t="str">
        <f t="shared" si="21"/>
        <v/>
      </c>
      <c r="J325" s="84" t="str">
        <f t="shared" si="22"/>
        <v/>
      </c>
      <c r="K325" s="80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15.75" customHeight="1" x14ac:dyDescent="0.25">
      <c r="A326" s="62"/>
      <c r="B326" s="62"/>
      <c r="C326" s="76"/>
      <c r="D326" s="77"/>
      <c r="E326" s="62"/>
      <c r="F326" s="83" t="str">
        <f t="shared" si="18"/>
        <v/>
      </c>
      <c r="G326" s="84" t="str">
        <f t="shared" si="19"/>
        <v/>
      </c>
      <c r="H326" s="84" t="str">
        <f t="shared" si="20"/>
        <v/>
      </c>
      <c r="I326" s="84" t="str">
        <f t="shared" si="21"/>
        <v/>
      </c>
      <c r="J326" s="84" t="str">
        <f t="shared" si="22"/>
        <v/>
      </c>
      <c r="K326" s="80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15.75" customHeight="1" x14ac:dyDescent="0.25">
      <c r="A327" s="62"/>
      <c r="B327" s="62"/>
      <c r="C327" s="76"/>
      <c r="D327" s="77"/>
      <c r="E327" s="62"/>
      <c r="F327" s="83" t="str">
        <f t="shared" si="18"/>
        <v/>
      </c>
      <c r="G327" s="84" t="str">
        <f t="shared" si="19"/>
        <v/>
      </c>
      <c r="H327" s="84" t="str">
        <f t="shared" si="20"/>
        <v/>
      </c>
      <c r="I327" s="84" t="str">
        <f t="shared" si="21"/>
        <v/>
      </c>
      <c r="J327" s="84" t="str">
        <f t="shared" si="22"/>
        <v/>
      </c>
      <c r="K327" s="80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15.75" customHeight="1" x14ac:dyDescent="0.25">
      <c r="A328" s="62"/>
      <c r="B328" s="62"/>
      <c r="C328" s="76"/>
      <c r="D328" s="77"/>
      <c r="E328" s="62"/>
      <c r="F328" s="83" t="str">
        <f t="shared" si="18"/>
        <v/>
      </c>
      <c r="G328" s="84" t="str">
        <f t="shared" si="19"/>
        <v/>
      </c>
      <c r="H328" s="84" t="str">
        <f t="shared" si="20"/>
        <v/>
      </c>
      <c r="I328" s="84" t="str">
        <f t="shared" si="21"/>
        <v/>
      </c>
      <c r="J328" s="84" t="str">
        <f t="shared" si="22"/>
        <v/>
      </c>
      <c r="K328" s="80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15.75" customHeight="1" x14ac:dyDescent="0.25">
      <c r="A329" s="62"/>
      <c r="B329" s="62"/>
      <c r="C329" s="76"/>
      <c r="D329" s="77"/>
      <c r="E329" s="62"/>
      <c r="F329" s="83" t="str">
        <f t="shared" si="18"/>
        <v/>
      </c>
      <c r="G329" s="84" t="str">
        <f t="shared" si="19"/>
        <v/>
      </c>
      <c r="H329" s="84" t="str">
        <f t="shared" si="20"/>
        <v/>
      </c>
      <c r="I329" s="84" t="str">
        <f t="shared" si="21"/>
        <v/>
      </c>
      <c r="J329" s="84" t="str">
        <f t="shared" si="22"/>
        <v/>
      </c>
      <c r="K329" s="80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15.75" customHeight="1" x14ac:dyDescent="0.25">
      <c r="A330" s="62"/>
      <c r="B330" s="62"/>
      <c r="C330" s="76"/>
      <c r="D330" s="77"/>
      <c r="E330" s="62"/>
      <c r="F330" s="83" t="str">
        <f t="shared" si="18"/>
        <v/>
      </c>
      <c r="G330" s="84" t="str">
        <f t="shared" si="19"/>
        <v/>
      </c>
      <c r="H330" s="84" t="str">
        <f t="shared" si="20"/>
        <v/>
      </c>
      <c r="I330" s="84" t="str">
        <f t="shared" si="21"/>
        <v/>
      </c>
      <c r="J330" s="84" t="str">
        <f t="shared" si="22"/>
        <v/>
      </c>
      <c r="K330" s="80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15.75" customHeight="1" x14ac:dyDescent="0.25">
      <c r="A331" s="62"/>
      <c r="B331" s="62"/>
      <c r="C331" s="76"/>
      <c r="D331" s="77"/>
      <c r="E331" s="62"/>
      <c r="F331" s="83" t="str">
        <f t="shared" si="18"/>
        <v/>
      </c>
      <c r="G331" s="84" t="str">
        <f t="shared" si="19"/>
        <v/>
      </c>
      <c r="H331" s="84" t="str">
        <f t="shared" si="20"/>
        <v/>
      </c>
      <c r="I331" s="84" t="str">
        <f t="shared" si="21"/>
        <v/>
      </c>
      <c r="J331" s="84" t="str">
        <f t="shared" si="22"/>
        <v/>
      </c>
      <c r="K331" s="80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15.75" customHeight="1" x14ac:dyDescent="0.25">
      <c r="A332" s="62"/>
      <c r="B332" s="62"/>
      <c r="C332" s="76"/>
      <c r="D332" s="77"/>
      <c r="E332" s="62"/>
      <c r="F332" s="83" t="str">
        <f t="shared" si="18"/>
        <v/>
      </c>
      <c r="G332" s="84" t="str">
        <f t="shared" si="19"/>
        <v/>
      </c>
      <c r="H332" s="84" t="str">
        <f t="shared" si="20"/>
        <v/>
      </c>
      <c r="I332" s="84" t="str">
        <f t="shared" si="21"/>
        <v/>
      </c>
      <c r="J332" s="84" t="str">
        <f t="shared" si="22"/>
        <v/>
      </c>
      <c r="K332" s="80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15.75" customHeight="1" x14ac:dyDescent="0.25">
      <c r="A333" s="62"/>
      <c r="B333" s="62"/>
      <c r="C333" s="76"/>
      <c r="D333" s="77"/>
      <c r="E333" s="62"/>
      <c r="F333" s="83" t="str">
        <f t="shared" si="18"/>
        <v/>
      </c>
      <c r="G333" s="84" t="str">
        <f t="shared" si="19"/>
        <v/>
      </c>
      <c r="H333" s="84" t="str">
        <f t="shared" si="20"/>
        <v/>
      </c>
      <c r="I333" s="84" t="str">
        <f t="shared" si="21"/>
        <v/>
      </c>
      <c r="J333" s="84" t="str">
        <f t="shared" si="22"/>
        <v/>
      </c>
      <c r="K333" s="80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15.75" customHeight="1" x14ac:dyDescent="0.25">
      <c r="A334" s="62"/>
      <c r="B334" s="62"/>
      <c r="C334" s="76"/>
      <c r="D334" s="77"/>
      <c r="E334" s="62"/>
      <c r="F334" s="83" t="str">
        <f t="shared" si="18"/>
        <v/>
      </c>
      <c r="G334" s="84" t="str">
        <f t="shared" si="19"/>
        <v/>
      </c>
      <c r="H334" s="84" t="str">
        <f t="shared" si="20"/>
        <v/>
      </c>
      <c r="I334" s="84" t="str">
        <f t="shared" si="21"/>
        <v/>
      </c>
      <c r="J334" s="84" t="str">
        <f t="shared" si="22"/>
        <v/>
      </c>
      <c r="K334" s="80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15.75" customHeight="1" x14ac:dyDescent="0.25">
      <c r="A335" s="62"/>
      <c r="B335" s="62"/>
      <c r="C335" s="76"/>
      <c r="D335" s="77"/>
      <c r="E335" s="62"/>
      <c r="F335" s="83" t="str">
        <f t="shared" si="18"/>
        <v/>
      </c>
      <c r="G335" s="84" t="str">
        <f t="shared" si="19"/>
        <v/>
      </c>
      <c r="H335" s="84" t="str">
        <f t="shared" si="20"/>
        <v/>
      </c>
      <c r="I335" s="84" t="str">
        <f t="shared" si="21"/>
        <v/>
      </c>
      <c r="J335" s="84" t="str">
        <f t="shared" si="22"/>
        <v/>
      </c>
      <c r="K335" s="80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15.75" customHeight="1" x14ac:dyDescent="0.25">
      <c r="A336" s="62"/>
      <c r="B336" s="62"/>
      <c r="C336" s="76"/>
      <c r="D336" s="77"/>
      <c r="E336" s="62"/>
      <c r="F336" s="83" t="str">
        <f t="shared" si="18"/>
        <v/>
      </c>
      <c r="G336" s="84" t="str">
        <f t="shared" si="19"/>
        <v/>
      </c>
      <c r="H336" s="84" t="str">
        <f t="shared" si="20"/>
        <v/>
      </c>
      <c r="I336" s="84" t="str">
        <f t="shared" si="21"/>
        <v/>
      </c>
      <c r="J336" s="84" t="str">
        <f t="shared" si="22"/>
        <v/>
      </c>
      <c r="K336" s="80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15.75" customHeight="1" x14ac:dyDescent="0.25">
      <c r="A337" s="62"/>
      <c r="B337" s="62"/>
      <c r="C337" s="76"/>
      <c r="D337" s="77"/>
      <c r="E337" s="62"/>
      <c r="F337" s="83" t="str">
        <f t="shared" si="18"/>
        <v/>
      </c>
      <c r="G337" s="84" t="str">
        <f t="shared" si="19"/>
        <v/>
      </c>
      <c r="H337" s="84" t="str">
        <f t="shared" si="20"/>
        <v/>
      </c>
      <c r="I337" s="84" t="str">
        <f t="shared" si="21"/>
        <v/>
      </c>
      <c r="J337" s="84" t="str">
        <f t="shared" si="22"/>
        <v/>
      </c>
      <c r="K337" s="80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15.75" customHeight="1" x14ac:dyDescent="0.25">
      <c r="A338" s="62"/>
      <c r="B338" s="62"/>
      <c r="C338" s="76"/>
      <c r="D338" s="77"/>
      <c r="E338" s="62"/>
      <c r="F338" s="83" t="str">
        <f t="shared" si="18"/>
        <v/>
      </c>
      <c r="G338" s="84" t="str">
        <f t="shared" si="19"/>
        <v/>
      </c>
      <c r="H338" s="84" t="str">
        <f t="shared" si="20"/>
        <v/>
      </c>
      <c r="I338" s="84" t="str">
        <f t="shared" si="21"/>
        <v/>
      </c>
      <c r="J338" s="84" t="str">
        <f t="shared" si="22"/>
        <v/>
      </c>
      <c r="K338" s="80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15.75" customHeight="1" x14ac:dyDescent="0.25">
      <c r="A339" s="62"/>
      <c r="B339" s="62"/>
      <c r="C339" s="76"/>
      <c r="D339" s="77"/>
      <c r="E339" s="62"/>
      <c r="F339" s="83" t="str">
        <f t="shared" si="18"/>
        <v/>
      </c>
      <c r="G339" s="84" t="str">
        <f t="shared" si="19"/>
        <v/>
      </c>
      <c r="H339" s="84" t="str">
        <f t="shared" si="20"/>
        <v/>
      </c>
      <c r="I339" s="84" t="str">
        <f t="shared" si="21"/>
        <v/>
      </c>
      <c r="J339" s="84" t="str">
        <f t="shared" si="22"/>
        <v/>
      </c>
      <c r="K339" s="80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15.75" customHeight="1" x14ac:dyDescent="0.25">
      <c r="A340" s="62"/>
      <c r="B340" s="62"/>
      <c r="C340" s="76"/>
      <c r="D340" s="77"/>
      <c r="E340" s="62"/>
      <c r="F340" s="83" t="str">
        <f t="shared" si="18"/>
        <v/>
      </c>
      <c r="G340" s="84" t="str">
        <f t="shared" si="19"/>
        <v/>
      </c>
      <c r="H340" s="84" t="str">
        <f t="shared" si="20"/>
        <v/>
      </c>
      <c r="I340" s="84" t="str">
        <f t="shared" si="21"/>
        <v/>
      </c>
      <c r="J340" s="84" t="str">
        <f t="shared" si="22"/>
        <v/>
      </c>
      <c r="K340" s="80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15.75" customHeight="1" x14ac:dyDescent="0.25">
      <c r="A341" s="62"/>
      <c r="B341" s="62"/>
      <c r="C341" s="76"/>
      <c r="D341" s="77"/>
      <c r="E341" s="62"/>
      <c r="F341" s="83" t="str">
        <f t="shared" si="18"/>
        <v/>
      </c>
      <c r="G341" s="84" t="str">
        <f t="shared" si="19"/>
        <v/>
      </c>
      <c r="H341" s="84" t="str">
        <f t="shared" si="20"/>
        <v/>
      </c>
      <c r="I341" s="84" t="str">
        <f t="shared" si="21"/>
        <v/>
      </c>
      <c r="J341" s="84" t="str">
        <f t="shared" si="22"/>
        <v/>
      </c>
      <c r="K341" s="80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15.75" customHeight="1" x14ac:dyDescent="0.25">
      <c r="A342" s="62"/>
      <c r="B342" s="62"/>
      <c r="C342" s="76"/>
      <c r="D342" s="77"/>
      <c r="E342" s="62"/>
      <c r="F342" s="83" t="str">
        <f t="shared" si="18"/>
        <v/>
      </c>
      <c r="G342" s="84" t="str">
        <f t="shared" si="19"/>
        <v/>
      </c>
      <c r="H342" s="84" t="str">
        <f t="shared" si="20"/>
        <v/>
      </c>
      <c r="I342" s="84" t="str">
        <f t="shared" si="21"/>
        <v/>
      </c>
      <c r="J342" s="84" t="str">
        <f t="shared" si="22"/>
        <v/>
      </c>
      <c r="K342" s="80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15.75" customHeight="1" x14ac:dyDescent="0.25">
      <c r="A343" s="62"/>
      <c r="B343" s="62"/>
      <c r="C343" s="76"/>
      <c r="D343" s="77"/>
      <c r="E343" s="62"/>
      <c r="F343" s="83" t="str">
        <f t="shared" si="18"/>
        <v/>
      </c>
      <c r="G343" s="84" t="str">
        <f t="shared" si="19"/>
        <v/>
      </c>
      <c r="H343" s="84" t="str">
        <f t="shared" si="20"/>
        <v/>
      </c>
      <c r="I343" s="84" t="str">
        <f t="shared" si="21"/>
        <v/>
      </c>
      <c r="J343" s="84" t="str">
        <f t="shared" si="22"/>
        <v/>
      </c>
      <c r="K343" s="80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15.75" customHeight="1" x14ac:dyDescent="0.25">
      <c r="A344" s="62"/>
      <c r="B344" s="62"/>
      <c r="C344" s="76"/>
      <c r="D344" s="77"/>
      <c r="E344" s="62"/>
      <c r="F344" s="83" t="str">
        <f t="shared" si="18"/>
        <v/>
      </c>
      <c r="G344" s="84" t="str">
        <f t="shared" si="19"/>
        <v/>
      </c>
      <c r="H344" s="84" t="str">
        <f t="shared" si="20"/>
        <v/>
      </c>
      <c r="I344" s="84" t="str">
        <f t="shared" si="21"/>
        <v/>
      </c>
      <c r="J344" s="84" t="str">
        <f t="shared" si="22"/>
        <v/>
      </c>
      <c r="K344" s="80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15.75" customHeight="1" x14ac:dyDescent="0.25">
      <c r="A345" s="62"/>
      <c r="B345" s="62"/>
      <c r="C345" s="76"/>
      <c r="D345" s="77"/>
      <c r="E345" s="62"/>
      <c r="F345" s="83" t="str">
        <f t="shared" si="18"/>
        <v/>
      </c>
      <c r="G345" s="84" t="str">
        <f t="shared" si="19"/>
        <v/>
      </c>
      <c r="H345" s="84" t="str">
        <f t="shared" si="20"/>
        <v/>
      </c>
      <c r="I345" s="84" t="str">
        <f t="shared" si="21"/>
        <v/>
      </c>
      <c r="J345" s="84" t="str">
        <f t="shared" si="22"/>
        <v/>
      </c>
      <c r="K345" s="80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15.75" customHeight="1" x14ac:dyDescent="0.25">
      <c r="A346" s="62"/>
      <c r="B346" s="62"/>
      <c r="C346" s="76"/>
      <c r="D346" s="77"/>
      <c r="E346" s="62"/>
      <c r="F346" s="83" t="str">
        <f t="shared" si="18"/>
        <v/>
      </c>
      <c r="G346" s="84" t="str">
        <f t="shared" si="19"/>
        <v/>
      </c>
      <c r="H346" s="84" t="str">
        <f t="shared" si="20"/>
        <v/>
      </c>
      <c r="I346" s="84" t="str">
        <f t="shared" si="21"/>
        <v/>
      </c>
      <c r="J346" s="84" t="str">
        <f t="shared" si="22"/>
        <v/>
      </c>
      <c r="K346" s="80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15.75" customHeight="1" x14ac:dyDescent="0.25">
      <c r="A347" s="62"/>
      <c r="B347" s="62"/>
      <c r="C347" s="76"/>
      <c r="D347" s="77"/>
      <c r="E347" s="62"/>
      <c r="F347" s="83" t="str">
        <f t="shared" si="18"/>
        <v/>
      </c>
      <c r="G347" s="84" t="str">
        <f t="shared" si="19"/>
        <v/>
      </c>
      <c r="H347" s="84" t="str">
        <f t="shared" si="20"/>
        <v/>
      </c>
      <c r="I347" s="84" t="str">
        <f t="shared" si="21"/>
        <v/>
      </c>
      <c r="J347" s="84" t="str">
        <f t="shared" si="22"/>
        <v/>
      </c>
      <c r="K347" s="80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15.75" customHeight="1" x14ac:dyDescent="0.25">
      <c r="A348" s="62"/>
      <c r="B348" s="62"/>
      <c r="C348" s="76"/>
      <c r="D348" s="77"/>
      <c r="E348" s="62"/>
      <c r="F348" s="83" t="str">
        <f t="shared" si="18"/>
        <v/>
      </c>
      <c r="G348" s="84" t="str">
        <f t="shared" si="19"/>
        <v/>
      </c>
      <c r="H348" s="84" t="str">
        <f t="shared" si="20"/>
        <v/>
      </c>
      <c r="I348" s="84" t="str">
        <f t="shared" si="21"/>
        <v/>
      </c>
      <c r="J348" s="84" t="str">
        <f t="shared" si="22"/>
        <v/>
      </c>
      <c r="K348" s="80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15.75" customHeight="1" x14ac:dyDescent="0.25">
      <c r="A349" s="62"/>
      <c r="B349" s="62"/>
      <c r="C349" s="76"/>
      <c r="D349" s="77"/>
      <c r="E349" s="62"/>
      <c r="F349" s="83" t="str">
        <f t="shared" si="18"/>
        <v/>
      </c>
      <c r="G349" s="84" t="str">
        <f t="shared" si="19"/>
        <v/>
      </c>
      <c r="H349" s="84" t="str">
        <f t="shared" si="20"/>
        <v/>
      </c>
      <c r="I349" s="84" t="str">
        <f t="shared" si="21"/>
        <v/>
      </c>
      <c r="J349" s="84" t="str">
        <f t="shared" si="22"/>
        <v/>
      </c>
      <c r="K349" s="80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15.75" customHeight="1" x14ac:dyDescent="0.25">
      <c r="A350" s="62"/>
      <c r="B350" s="62"/>
      <c r="C350" s="76"/>
      <c r="D350" s="77"/>
      <c r="E350" s="62"/>
      <c r="F350" s="83" t="str">
        <f t="shared" si="18"/>
        <v/>
      </c>
      <c r="G350" s="84" t="str">
        <f t="shared" si="19"/>
        <v/>
      </c>
      <c r="H350" s="84" t="str">
        <f t="shared" si="20"/>
        <v/>
      </c>
      <c r="I350" s="84" t="str">
        <f t="shared" si="21"/>
        <v/>
      </c>
      <c r="J350" s="84" t="str">
        <f t="shared" si="22"/>
        <v/>
      </c>
      <c r="K350" s="80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15.75" customHeight="1" x14ac:dyDescent="0.25">
      <c r="A351" s="62"/>
      <c r="B351" s="62"/>
      <c r="C351" s="76"/>
      <c r="D351" s="77"/>
      <c r="E351" s="62"/>
      <c r="F351" s="83" t="str">
        <f t="shared" si="18"/>
        <v/>
      </c>
      <c r="G351" s="84" t="str">
        <f t="shared" si="19"/>
        <v/>
      </c>
      <c r="H351" s="84" t="str">
        <f t="shared" si="20"/>
        <v/>
      </c>
      <c r="I351" s="84" t="str">
        <f t="shared" si="21"/>
        <v/>
      </c>
      <c r="J351" s="84" t="str">
        <f t="shared" si="22"/>
        <v/>
      </c>
      <c r="K351" s="80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15.75" customHeight="1" x14ac:dyDescent="0.25">
      <c r="A352" s="62"/>
      <c r="B352" s="62"/>
      <c r="C352" s="76"/>
      <c r="D352" s="77"/>
      <c r="E352" s="62"/>
      <c r="F352" s="83" t="str">
        <f t="shared" si="18"/>
        <v/>
      </c>
      <c r="G352" s="84" t="str">
        <f t="shared" si="19"/>
        <v/>
      </c>
      <c r="H352" s="84" t="str">
        <f t="shared" si="20"/>
        <v/>
      </c>
      <c r="I352" s="84" t="str">
        <f t="shared" si="21"/>
        <v/>
      </c>
      <c r="J352" s="84" t="str">
        <f t="shared" si="22"/>
        <v/>
      </c>
      <c r="K352" s="80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15.75" customHeight="1" x14ac:dyDescent="0.25">
      <c r="A353" s="62"/>
      <c r="B353" s="62"/>
      <c r="C353" s="76"/>
      <c r="D353" s="77"/>
      <c r="E353" s="62"/>
      <c r="F353" s="83" t="str">
        <f t="shared" si="18"/>
        <v/>
      </c>
      <c r="G353" s="84" t="str">
        <f t="shared" si="19"/>
        <v/>
      </c>
      <c r="H353" s="84" t="str">
        <f t="shared" si="20"/>
        <v/>
      </c>
      <c r="I353" s="84" t="str">
        <f t="shared" si="21"/>
        <v/>
      </c>
      <c r="J353" s="84" t="str">
        <f t="shared" si="22"/>
        <v/>
      </c>
      <c r="K353" s="80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15.75" customHeight="1" x14ac:dyDescent="0.25">
      <c r="A354" s="62"/>
      <c r="B354" s="62"/>
      <c r="C354" s="76"/>
      <c r="D354" s="77"/>
      <c r="E354" s="62"/>
      <c r="F354" s="83" t="str">
        <f t="shared" si="18"/>
        <v/>
      </c>
      <c r="G354" s="84" t="str">
        <f t="shared" si="19"/>
        <v/>
      </c>
      <c r="H354" s="84" t="str">
        <f t="shared" si="20"/>
        <v/>
      </c>
      <c r="I354" s="84" t="str">
        <f t="shared" si="21"/>
        <v/>
      </c>
      <c r="J354" s="84" t="str">
        <f t="shared" si="22"/>
        <v/>
      </c>
      <c r="K354" s="80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15.75" customHeight="1" x14ac:dyDescent="0.25">
      <c r="A355" s="62"/>
      <c r="B355" s="62"/>
      <c r="C355" s="76"/>
      <c r="D355" s="77"/>
      <c r="E355" s="62"/>
      <c r="F355" s="83" t="str">
        <f t="shared" si="18"/>
        <v/>
      </c>
      <c r="G355" s="84" t="str">
        <f t="shared" si="19"/>
        <v/>
      </c>
      <c r="H355" s="84" t="str">
        <f t="shared" si="20"/>
        <v/>
      </c>
      <c r="I355" s="84" t="str">
        <f t="shared" si="21"/>
        <v/>
      </c>
      <c r="J355" s="84" t="str">
        <f t="shared" si="22"/>
        <v/>
      </c>
      <c r="K355" s="80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15.75" customHeight="1" x14ac:dyDescent="0.25">
      <c r="A356" s="62"/>
      <c r="B356" s="62"/>
      <c r="C356" s="76"/>
      <c r="D356" s="77"/>
      <c r="E356" s="62"/>
      <c r="F356" s="83" t="str">
        <f t="shared" si="18"/>
        <v/>
      </c>
      <c r="G356" s="84" t="str">
        <f t="shared" si="19"/>
        <v/>
      </c>
      <c r="H356" s="84" t="str">
        <f t="shared" si="20"/>
        <v/>
      </c>
      <c r="I356" s="84" t="str">
        <f t="shared" si="21"/>
        <v/>
      </c>
      <c r="J356" s="84" t="str">
        <f t="shared" si="22"/>
        <v/>
      </c>
      <c r="K356" s="80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15.75" customHeight="1" x14ac:dyDescent="0.25">
      <c r="A357" s="62"/>
      <c r="B357" s="62"/>
      <c r="C357" s="76"/>
      <c r="D357" s="77"/>
      <c r="E357" s="62"/>
      <c r="F357" s="83" t="str">
        <f t="shared" si="18"/>
        <v/>
      </c>
      <c r="G357" s="84" t="str">
        <f t="shared" si="19"/>
        <v/>
      </c>
      <c r="H357" s="84" t="str">
        <f t="shared" si="20"/>
        <v/>
      </c>
      <c r="I357" s="84" t="str">
        <f t="shared" si="21"/>
        <v/>
      </c>
      <c r="J357" s="84" t="str">
        <f t="shared" si="22"/>
        <v/>
      </c>
      <c r="K357" s="80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15.75" customHeight="1" x14ac:dyDescent="0.25">
      <c r="A358" s="62"/>
      <c r="B358" s="62"/>
      <c r="C358" s="76"/>
      <c r="D358" s="77"/>
      <c r="E358" s="62"/>
      <c r="F358" s="83" t="str">
        <f t="shared" si="18"/>
        <v/>
      </c>
      <c r="G358" s="84" t="str">
        <f t="shared" si="19"/>
        <v/>
      </c>
      <c r="H358" s="84" t="str">
        <f t="shared" si="20"/>
        <v/>
      </c>
      <c r="I358" s="84" t="str">
        <f t="shared" si="21"/>
        <v/>
      </c>
      <c r="J358" s="84" t="str">
        <f t="shared" si="22"/>
        <v/>
      </c>
      <c r="K358" s="80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15.75" customHeight="1" x14ac:dyDescent="0.25">
      <c r="A359" s="62"/>
      <c r="B359" s="62"/>
      <c r="C359" s="76"/>
      <c r="D359" s="77"/>
      <c r="E359" s="62"/>
      <c r="F359" s="83" t="str">
        <f t="shared" si="18"/>
        <v/>
      </c>
      <c r="G359" s="84" t="str">
        <f t="shared" si="19"/>
        <v/>
      </c>
      <c r="H359" s="84" t="str">
        <f t="shared" si="20"/>
        <v/>
      </c>
      <c r="I359" s="84" t="str">
        <f t="shared" si="21"/>
        <v/>
      </c>
      <c r="J359" s="84" t="str">
        <f t="shared" si="22"/>
        <v/>
      </c>
      <c r="K359" s="80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15.75" customHeight="1" x14ac:dyDescent="0.25">
      <c r="A360" s="62"/>
      <c r="B360" s="62"/>
      <c r="C360" s="76"/>
      <c r="D360" s="77"/>
      <c r="E360" s="62"/>
      <c r="F360" s="83" t="str">
        <f t="shared" si="18"/>
        <v/>
      </c>
      <c r="G360" s="84" t="str">
        <f t="shared" si="19"/>
        <v/>
      </c>
      <c r="H360" s="84" t="str">
        <f t="shared" si="20"/>
        <v/>
      </c>
      <c r="I360" s="84" t="str">
        <f t="shared" si="21"/>
        <v/>
      </c>
      <c r="J360" s="84" t="str">
        <f t="shared" si="22"/>
        <v/>
      </c>
      <c r="K360" s="80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15.75" customHeight="1" x14ac:dyDescent="0.25">
      <c r="A361" s="62"/>
      <c r="B361" s="62"/>
      <c r="C361" s="76"/>
      <c r="D361" s="77"/>
      <c r="E361" s="62"/>
      <c r="F361" s="83" t="str">
        <f t="shared" si="18"/>
        <v/>
      </c>
      <c r="G361" s="84" t="str">
        <f t="shared" si="19"/>
        <v/>
      </c>
      <c r="H361" s="84" t="str">
        <f t="shared" si="20"/>
        <v/>
      </c>
      <c r="I361" s="84" t="str">
        <f t="shared" si="21"/>
        <v/>
      </c>
      <c r="J361" s="84" t="str">
        <f t="shared" si="22"/>
        <v/>
      </c>
      <c r="K361" s="80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15.75" customHeight="1" x14ac:dyDescent="0.25">
      <c r="A362" s="62"/>
      <c r="B362" s="62"/>
      <c r="C362" s="76"/>
      <c r="D362" s="77"/>
      <c r="E362" s="62"/>
      <c r="F362" s="83" t="str">
        <f t="shared" si="18"/>
        <v/>
      </c>
      <c r="G362" s="84" t="str">
        <f t="shared" si="19"/>
        <v/>
      </c>
      <c r="H362" s="84" t="str">
        <f t="shared" si="20"/>
        <v/>
      </c>
      <c r="I362" s="84" t="str">
        <f t="shared" si="21"/>
        <v/>
      </c>
      <c r="J362" s="84" t="str">
        <f t="shared" si="22"/>
        <v/>
      </c>
      <c r="K362" s="80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15.75" customHeight="1" x14ac:dyDescent="0.25">
      <c r="A363" s="62"/>
      <c r="B363" s="62"/>
      <c r="C363" s="76"/>
      <c r="D363" s="77"/>
      <c r="E363" s="62"/>
      <c r="F363" s="83" t="str">
        <f t="shared" si="18"/>
        <v/>
      </c>
      <c r="G363" s="84" t="str">
        <f t="shared" si="19"/>
        <v/>
      </c>
      <c r="H363" s="84" t="str">
        <f t="shared" si="20"/>
        <v/>
      </c>
      <c r="I363" s="84" t="str">
        <f t="shared" si="21"/>
        <v/>
      </c>
      <c r="J363" s="84" t="str">
        <f t="shared" si="22"/>
        <v/>
      </c>
      <c r="K363" s="80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15.75" customHeight="1" x14ac:dyDescent="0.25">
      <c r="A364" s="62"/>
      <c r="B364" s="62"/>
      <c r="C364" s="76"/>
      <c r="D364" s="77"/>
      <c r="E364" s="62"/>
      <c r="F364" s="83" t="str">
        <f t="shared" si="18"/>
        <v/>
      </c>
      <c r="G364" s="84" t="str">
        <f t="shared" si="19"/>
        <v/>
      </c>
      <c r="H364" s="84" t="str">
        <f t="shared" si="20"/>
        <v/>
      </c>
      <c r="I364" s="84" t="str">
        <f t="shared" si="21"/>
        <v/>
      </c>
      <c r="J364" s="84" t="str">
        <f t="shared" si="22"/>
        <v/>
      </c>
      <c r="K364" s="80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15.75" customHeight="1" x14ac:dyDescent="0.25">
      <c r="A365" s="62"/>
      <c r="B365" s="62"/>
      <c r="C365" s="76"/>
      <c r="D365" s="77"/>
      <c r="E365" s="62"/>
      <c r="F365" s="83" t="str">
        <f t="shared" si="18"/>
        <v/>
      </c>
      <c r="G365" s="84" t="str">
        <f t="shared" si="19"/>
        <v/>
      </c>
      <c r="H365" s="84" t="str">
        <f t="shared" si="20"/>
        <v/>
      </c>
      <c r="I365" s="84" t="str">
        <f t="shared" si="21"/>
        <v/>
      </c>
      <c r="J365" s="84" t="str">
        <f t="shared" si="22"/>
        <v/>
      </c>
      <c r="K365" s="80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15.75" customHeight="1" x14ac:dyDescent="0.25">
      <c r="A366" s="62"/>
      <c r="B366" s="62"/>
      <c r="C366" s="76"/>
      <c r="D366" s="77"/>
      <c r="E366" s="62"/>
      <c r="F366" s="83" t="str">
        <f t="shared" si="18"/>
        <v/>
      </c>
      <c r="G366" s="84" t="str">
        <f t="shared" si="19"/>
        <v/>
      </c>
      <c r="H366" s="84" t="str">
        <f t="shared" si="20"/>
        <v/>
      </c>
      <c r="I366" s="84" t="str">
        <f t="shared" si="21"/>
        <v/>
      </c>
      <c r="J366" s="84" t="str">
        <f t="shared" si="22"/>
        <v/>
      </c>
      <c r="K366" s="80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15.75" customHeight="1" x14ac:dyDescent="0.25">
      <c r="A367" s="62"/>
      <c r="B367" s="62"/>
      <c r="C367" s="76"/>
      <c r="D367" s="77"/>
      <c r="E367" s="62"/>
      <c r="F367" s="83" t="str">
        <f t="shared" si="18"/>
        <v/>
      </c>
      <c r="G367" s="84" t="str">
        <f t="shared" si="19"/>
        <v/>
      </c>
      <c r="H367" s="84" t="str">
        <f t="shared" si="20"/>
        <v/>
      </c>
      <c r="I367" s="84" t="str">
        <f t="shared" si="21"/>
        <v/>
      </c>
      <c r="J367" s="84" t="str">
        <f t="shared" si="22"/>
        <v/>
      </c>
      <c r="K367" s="80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15.75" customHeight="1" x14ac:dyDescent="0.25">
      <c r="A368" s="62"/>
      <c r="B368" s="62"/>
      <c r="C368" s="76"/>
      <c r="D368" s="77"/>
      <c r="E368" s="62"/>
      <c r="F368" s="83" t="str">
        <f t="shared" si="18"/>
        <v/>
      </c>
      <c r="G368" s="84" t="str">
        <f t="shared" si="19"/>
        <v/>
      </c>
      <c r="H368" s="84" t="str">
        <f t="shared" si="20"/>
        <v/>
      </c>
      <c r="I368" s="84" t="str">
        <f t="shared" si="21"/>
        <v/>
      </c>
      <c r="J368" s="84" t="str">
        <f t="shared" si="22"/>
        <v/>
      </c>
      <c r="K368" s="80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15.75" customHeight="1" x14ac:dyDescent="0.25">
      <c r="A369" s="62"/>
      <c r="B369" s="62"/>
      <c r="C369" s="76"/>
      <c r="D369" s="77"/>
      <c r="E369" s="62"/>
      <c r="F369" s="83" t="str">
        <f t="shared" si="18"/>
        <v/>
      </c>
      <c r="G369" s="84" t="str">
        <f t="shared" si="19"/>
        <v/>
      </c>
      <c r="H369" s="84" t="str">
        <f t="shared" si="20"/>
        <v/>
      </c>
      <c r="I369" s="84" t="str">
        <f t="shared" si="21"/>
        <v/>
      </c>
      <c r="J369" s="84" t="str">
        <f t="shared" si="22"/>
        <v/>
      </c>
      <c r="K369" s="80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15.75" customHeight="1" x14ac:dyDescent="0.25">
      <c r="A370" s="62"/>
      <c r="B370" s="62"/>
      <c r="C370" s="76"/>
      <c r="D370" s="77"/>
      <c r="E370" s="62"/>
      <c r="F370" s="83" t="str">
        <f t="shared" si="18"/>
        <v/>
      </c>
      <c r="G370" s="84" t="str">
        <f t="shared" si="19"/>
        <v/>
      </c>
      <c r="H370" s="84" t="str">
        <f t="shared" si="20"/>
        <v/>
      </c>
      <c r="I370" s="84" t="str">
        <f t="shared" si="21"/>
        <v/>
      </c>
      <c r="J370" s="84" t="str">
        <f t="shared" si="22"/>
        <v/>
      </c>
      <c r="K370" s="80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15.75" customHeight="1" x14ac:dyDescent="0.25">
      <c r="A371" s="62"/>
      <c r="B371" s="62"/>
      <c r="C371" s="76"/>
      <c r="D371" s="77"/>
      <c r="E371" s="62"/>
      <c r="F371" s="83" t="str">
        <f t="shared" si="18"/>
        <v/>
      </c>
      <c r="G371" s="84" t="str">
        <f t="shared" si="19"/>
        <v/>
      </c>
      <c r="H371" s="84" t="str">
        <f t="shared" si="20"/>
        <v/>
      </c>
      <c r="I371" s="84" t="str">
        <f t="shared" si="21"/>
        <v/>
      </c>
      <c r="J371" s="84" t="str">
        <f t="shared" si="22"/>
        <v/>
      </c>
      <c r="K371" s="80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15.75" customHeight="1" x14ac:dyDescent="0.25">
      <c r="A372" s="62"/>
      <c r="B372" s="62"/>
      <c r="C372" s="76"/>
      <c r="D372" s="77"/>
      <c r="E372" s="62"/>
      <c r="F372" s="83" t="str">
        <f t="shared" si="18"/>
        <v/>
      </c>
      <c r="G372" s="84" t="str">
        <f t="shared" si="19"/>
        <v/>
      </c>
      <c r="H372" s="84" t="str">
        <f t="shared" si="20"/>
        <v/>
      </c>
      <c r="I372" s="84" t="str">
        <f t="shared" si="21"/>
        <v/>
      </c>
      <c r="J372" s="84" t="str">
        <f t="shared" si="22"/>
        <v/>
      </c>
      <c r="K372" s="80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15.75" customHeight="1" x14ac:dyDescent="0.25">
      <c r="A373" s="62"/>
      <c r="B373" s="62"/>
      <c r="C373" s="76"/>
      <c r="D373" s="77"/>
      <c r="E373" s="62"/>
      <c r="F373" s="83" t="str">
        <f t="shared" si="18"/>
        <v/>
      </c>
      <c r="G373" s="84" t="str">
        <f t="shared" si="19"/>
        <v/>
      </c>
      <c r="H373" s="84" t="str">
        <f t="shared" si="20"/>
        <v/>
      </c>
      <c r="I373" s="84" t="str">
        <f t="shared" si="21"/>
        <v/>
      </c>
      <c r="J373" s="84" t="str">
        <f t="shared" si="22"/>
        <v/>
      </c>
      <c r="K373" s="80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15.75" customHeight="1" x14ac:dyDescent="0.25">
      <c r="A374" s="62"/>
      <c r="B374" s="62"/>
      <c r="C374" s="76"/>
      <c r="D374" s="77"/>
      <c r="E374" s="62"/>
      <c r="F374" s="83" t="str">
        <f t="shared" si="18"/>
        <v/>
      </c>
      <c r="G374" s="84" t="str">
        <f t="shared" si="19"/>
        <v/>
      </c>
      <c r="H374" s="84" t="str">
        <f t="shared" si="20"/>
        <v/>
      </c>
      <c r="I374" s="84" t="str">
        <f t="shared" si="21"/>
        <v/>
      </c>
      <c r="J374" s="84" t="str">
        <f t="shared" si="22"/>
        <v/>
      </c>
      <c r="K374" s="80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15.75" customHeight="1" x14ac:dyDescent="0.25">
      <c r="A375" s="62"/>
      <c r="B375" s="62"/>
      <c r="C375" s="76"/>
      <c r="D375" s="77"/>
      <c r="E375" s="62"/>
      <c r="F375" s="83" t="str">
        <f t="shared" si="18"/>
        <v/>
      </c>
      <c r="G375" s="84" t="str">
        <f t="shared" si="19"/>
        <v/>
      </c>
      <c r="H375" s="84" t="str">
        <f t="shared" si="20"/>
        <v/>
      </c>
      <c r="I375" s="84" t="str">
        <f t="shared" si="21"/>
        <v/>
      </c>
      <c r="J375" s="84" t="str">
        <f t="shared" si="22"/>
        <v/>
      </c>
      <c r="K375" s="80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15.75" customHeight="1" x14ac:dyDescent="0.25">
      <c r="A376" s="62"/>
      <c r="B376" s="62"/>
      <c r="C376" s="76"/>
      <c r="D376" s="77"/>
      <c r="E376" s="62"/>
      <c r="F376" s="83" t="str">
        <f t="shared" si="18"/>
        <v/>
      </c>
      <c r="G376" s="84" t="str">
        <f t="shared" si="19"/>
        <v/>
      </c>
      <c r="H376" s="84" t="str">
        <f t="shared" si="20"/>
        <v/>
      </c>
      <c r="I376" s="84" t="str">
        <f t="shared" si="21"/>
        <v/>
      </c>
      <c r="J376" s="84" t="str">
        <f t="shared" si="22"/>
        <v/>
      </c>
      <c r="K376" s="80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15.75" customHeight="1" x14ac:dyDescent="0.25">
      <c r="A377" s="62"/>
      <c r="B377" s="62"/>
      <c r="C377" s="76"/>
      <c r="D377" s="77"/>
      <c r="E377" s="62"/>
      <c r="F377" s="83" t="str">
        <f t="shared" si="18"/>
        <v/>
      </c>
      <c r="G377" s="84" t="str">
        <f t="shared" si="19"/>
        <v/>
      </c>
      <c r="H377" s="84" t="str">
        <f t="shared" si="20"/>
        <v/>
      </c>
      <c r="I377" s="84" t="str">
        <f t="shared" si="21"/>
        <v/>
      </c>
      <c r="J377" s="84" t="str">
        <f t="shared" si="22"/>
        <v/>
      </c>
      <c r="K377" s="80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15.75" customHeight="1" x14ac:dyDescent="0.25">
      <c r="A378" s="62"/>
      <c r="B378" s="62"/>
      <c r="C378" s="76"/>
      <c r="D378" s="77"/>
      <c r="E378" s="62"/>
      <c r="F378" s="83" t="str">
        <f t="shared" si="18"/>
        <v/>
      </c>
      <c r="G378" s="84" t="str">
        <f t="shared" si="19"/>
        <v/>
      </c>
      <c r="H378" s="84" t="str">
        <f t="shared" si="20"/>
        <v/>
      </c>
      <c r="I378" s="84" t="str">
        <f t="shared" si="21"/>
        <v/>
      </c>
      <c r="J378" s="84" t="str">
        <f t="shared" si="22"/>
        <v/>
      </c>
      <c r="K378" s="80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15.75" customHeight="1" x14ac:dyDescent="0.25">
      <c r="A379" s="62"/>
      <c r="B379" s="62"/>
      <c r="C379" s="76"/>
      <c r="D379" s="77"/>
      <c r="E379" s="62"/>
      <c r="F379" s="83" t="str">
        <f t="shared" si="18"/>
        <v/>
      </c>
      <c r="G379" s="84" t="str">
        <f t="shared" si="19"/>
        <v/>
      </c>
      <c r="H379" s="84" t="str">
        <f t="shared" si="20"/>
        <v/>
      </c>
      <c r="I379" s="84" t="str">
        <f t="shared" si="21"/>
        <v/>
      </c>
      <c r="J379" s="84" t="str">
        <f t="shared" si="22"/>
        <v/>
      </c>
      <c r="K379" s="80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15.75" customHeight="1" x14ac:dyDescent="0.25">
      <c r="A380" s="62"/>
      <c r="B380" s="62"/>
      <c r="C380" s="76"/>
      <c r="D380" s="77"/>
      <c r="E380" s="62"/>
      <c r="F380" s="83" t="str">
        <f t="shared" si="18"/>
        <v/>
      </c>
      <c r="G380" s="84" t="str">
        <f t="shared" si="19"/>
        <v/>
      </c>
      <c r="H380" s="84" t="str">
        <f t="shared" si="20"/>
        <v/>
      </c>
      <c r="I380" s="84" t="str">
        <f t="shared" si="21"/>
        <v/>
      </c>
      <c r="J380" s="84" t="str">
        <f t="shared" si="22"/>
        <v/>
      </c>
      <c r="K380" s="80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15.75" customHeight="1" x14ac:dyDescent="0.25">
      <c r="A381" s="62"/>
      <c r="B381" s="62"/>
      <c r="C381" s="76"/>
      <c r="D381" s="77"/>
      <c r="E381" s="62"/>
      <c r="F381" s="83" t="str">
        <f t="shared" si="18"/>
        <v/>
      </c>
      <c r="G381" s="84" t="str">
        <f t="shared" si="19"/>
        <v/>
      </c>
      <c r="H381" s="84" t="str">
        <f t="shared" si="20"/>
        <v/>
      </c>
      <c r="I381" s="84" t="str">
        <f t="shared" si="21"/>
        <v/>
      </c>
      <c r="J381" s="84" t="str">
        <f t="shared" si="22"/>
        <v/>
      </c>
      <c r="K381" s="80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15.75" customHeight="1" x14ac:dyDescent="0.25">
      <c r="A382" s="62"/>
      <c r="B382" s="62"/>
      <c r="C382" s="76"/>
      <c r="D382" s="77"/>
      <c r="E382" s="62"/>
      <c r="F382" s="83" t="str">
        <f t="shared" si="18"/>
        <v/>
      </c>
      <c r="G382" s="84" t="str">
        <f t="shared" si="19"/>
        <v/>
      </c>
      <c r="H382" s="84" t="str">
        <f t="shared" si="20"/>
        <v/>
      </c>
      <c r="I382" s="84" t="str">
        <f t="shared" si="21"/>
        <v/>
      </c>
      <c r="J382" s="84" t="str">
        <f t="shared" si="22"/>
        <v/>
      </c>
      <c r="K382" s="80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15.75" customHeight="1" x14ac:dyDescent="0.25">
      <c r="A383" s="62"/>
      <c r="B383" s="62"/>
      <c r="C383" s="76"/>
      <c r="D383" s="77"/>
      <c r="E383" s="62"/>
      <c r="F383" s="83" t="str">
        <f t="shared" si="18"/>
        <v/>
      </c>
      <c r="G383" s="84" t="str">
        <f t="shared" si="19"/>
        <v/>
      </c>
      <c r="H383" s="84" t="str">
        <f t="shared" si="20"/>
        <v/>
      </c>
      <c r="I383" s="84" t="str">
        <f t="shared" si="21"/>
        <v/>
      </c>
      <c r="J383" s="84" t="str">
        <f t="shared" si="22"/>
        <v/>
      </c>
      <c r="K383" s="80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15.75" customHeight="1" x14ac:dyDescent="0.25">
      <c r="A384" s="62"/>
      <c r="B384" s="62"/>
      <c r="C384" s="76"/>
      <c r="D384" s="77"/>
      <c r="E384" s="62"/>
      <c r="F384" s="83" t="str">
        <f t="shared" si="18"/>
        <v/>
      </c>
      <c r="G384" s="84" t="str">
        <f t="shared" si="19"/>
        <v/>
      </c>
      <c r="H384" s="84" t="str">
        <f t="shared" si="20"/>
        <v/>
      </c>
      <c r="I384" s="84" t="str">
        <f t="shared" si="21"/>
        <v/>
      </c>
      <c r="J384" s="84" t="str">
        <f t="shared" si="22"/>
        <v/>
      </c>
      <c r="K384" s="80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15.75" customHeight="1" x14ac:dyDescent="0.25">
      <c r="A385" s="62"/>
      <c r="B385" s="62"/>
      <c r="C385" s="76"/>
      <c r="D385" s="77"/>
      <c r="E385" s="62"/>
      <c r="F385" s="83" t="str">
        <f t="shared" si="18"/>
        <v/>
      </c>
      <c r="G385" s="84" t="str">
        <f t="shared" si="19"/>
        <v/>
      </c>
      <c r="H385" s="84" t="str">
        <f t="shared" si="20"/>
        <v/>
      </c>
      <c r="I385" s="84" t="str">
        <f t="shared" si="21"/>
        <v/>
      </c>
      <c r="J385" s="84" t="str">
        <f t="shared" si="22"/>
        <v/>
      </c>
      <c r="K385" s="80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15.75" customHeight="1" x14ac:dyDescent="0.25">
      <c r="A386" s="62"/>
      <c r="B386" s="62"/>
      <c r="C386" s="76"/>
      <c r="D386" s="77"/>
      <c r="E386" s="62"/>
      <c r="F386" s="83" t="str">
        <f t="shared" si="18"/>
        <v/>
      </c>
      <c r="G386" s="84" t="str">
        <f t="shared" si="19"/>
        <v/>
      </c>
      <c r="H386" s="84" t="str">
        <f t="shared" si="20"/>
        <v/>
      </c>
      <c r="I386" s="84" t="str">
        <f t="shared" si="21"/>
        <v/>
      </c>
      <c r="J386" s="84" t="str">
        <f t="shared" si="22"/>
        <v/>
      </c>
      <c r="K386" s="80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15.75" customHeight="1" x14ac:dyDescent="0.25">
      <c r="A387" s="62"/>
      <c r="B387" s="62"/>
      <c r="C387" s="76"/>
      <c r="D387" s="77"/>
      <c r="E387" s="62"/>
      <c r="F387" s="83" t="str">
        <f t="shared" si="18"/>
        <v/>
      </c>
      <c r="G387" s="84" t="str">
        <f t="shared" si="19"/>
        <v/>
      </c>
      <c r="H387" s="84" t="str">
        <f t="shared" si="20"/>
        <v/>
      </c>
      <c r="I387" s="84" t="str">
        <f t="shared" si="21"/>
        <v/>
      </c>
      <c r="J387" s="84" t="str">
        <f t="shared" si="22"/>
        <v/>
      </c>
      <c r="K387" s="80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15.75" customHeight="1" x14ac:dyDescent="0.25">
      <c r="A388" s="62"/>
      <c r="B388" s="62"/>
      <c r="C388" s="76"/>
      <c r="D388" s="77"/>
      <c r="E388" s="62"/>
      <c r="F388" s="83" t="str">
        <f t="shared" si="18"/>
        <v/>
      </c>
      <c r="G388" s="84" t="str">
        <f t="shared" si="19"/>
        <v/>
      </c>
      <c r="H388" s="84" t="str">
        <f t="shared" si="20"/>
        <v/>
      </c>
      <c r="I388" s="84" t="str">
        <f t="shared" si="21"/>
        <v/>
      </c>
      <c r="J388" s="84" t="str">
        <f t="shared" si="22"/>
        <v/>
      </c>
      <c r="K388" s="80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15.75" customHeight="1" x14ac:dyDescent="0.25">
      <c r="A389" s="62"/>
      <c r="B389" s="62"/>
      <c r="C389" s="76"/>
      <c r="D389" s="77"/>
      <c r="E389" s="62"/>
      <c r="F389" s="83" t="str">
        <f t="shared" si="18"/>
        <v/>
      </c>
      <c r="G389" s="84" t="str">
        <f t="shared" si="19"/>
        <v/>
      </c>
      <c r="H389" s="84" t="str">
        <f t="shared" si="20"/>
        <v/>
      </c>
      <c r="I389" s="84" t="str">
        <f t="shared" si="21"/>
        <v/>
      </c>
      <c r="J389" s="84" t="str">
        <f t="shared" si="22"/>
        <v/>
      </c>
      <c r="K389" s="80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15.75" customHeight="1" x14ac:dyDescent="0.25">
      <c r="A390" s="62"/>
      <c r="B390" s="62"/>
      <c r="C390" s="76"/>
      <c r="D390" s="77"/>
      <c r="E390" s="62"/>
      <c r="F390" s="83" t="str">
        <f t="shared" si="18"/>
        <v/>
      </c>
      <c r="G390" s="84" t="str">
        <f t="shared" si="19"/>
        <v/>
      </c>
      <c r="H390" s="84" t="str">
        <f t="shared" si="20"/>
        <v/>
      </c>
      <c r="I390" s="84" t="str">
        <f t="shared" si="21"/>
        <v/>
      </c>
      <c r="J390" s="84" t="str">
        <f t="shared" si="22"/>
        <v/>
      </c>
      <c r="K390" s="80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15.75" customHeight="1" x14ac:dyDescent="0.25">
      <c r="A391" s="62"/>
      <c r="B391" s="62"/>
      <c r="C391" s="76"/>
      <c r="D391" s="77"/>
      <c r="E391" s="62"/>
      <c r="F391" s="83" t="str">
        <f t="shared" si="18"/>
        <v/>
      </c>
      <c r="G391" s="84" t="str">
        <f t="shared" si="19"/>
        <v/>
      </c>
      <c r="H391" s="84" t="str">
        <f t="shared" si="20"/>
        <v/>
      </c>
      <c r="I391" s="84" t="str">
        <f t="shared" si="21"/>
        <v/>
      </c>
      <c r="J391" s="84" t="str">
        <f t="shared" si="22"/>
        <v/>
      </c>
      <c r="K391" s="80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15.75" customHeight="1" x14ac:dyDescent="0.25">
      <c r="A392" s="62"/>
      <c r="B392" s="62"/>
      <c r="C392" s="76"/>
      <c r="D392" s="77"/>
      <c r="E392" s="62"/>
      <c r="F392" s="83" t="str">
        <f t="shared" si="18"/>
        <v/>
      </c>
      <c r="G392" s="84" t="str">
        <f t="shared" si="19"/>
        <v/>
      </c>
      <c r="H392" s="84" t="str">
        <f t="shared" si="20"/>
        <v/>
      </c>
      <c r="I392" s="84" t="str">
        <f t="shared" si="21"/>
        <v/>
      </c>
      <c r="J392" s="84" t="str">
        <f t="shared" si="22"/>
        <v/>
      </c>
      <c r="K392" s="80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15.75" customHeight="1" x14ac:dyDescent="0.25">
      <c r="A393" s="62"/>
      <c r="B393" s="62"/>
      <c r="C393" s="76"/>
      <c r="D393" s="77"/>
      <c r="E393" s="62"/>
      <c r="F393" s="83" t="str">
        <f t="shared" si="18"/>
        <v/>
      </c>
      <c r="G393" s="84" t="str">
        <f t="shared" si="19"/>
        <v/>
      </c>
      <c r="H393" s="84" t="str">
        <f t="shared" si="20"/>
        <v/>
      </c>
      <c r="I393" s="84" t="str">
        <f t="shared" si="21"/>
        <v/>
      </c>
      <c r="J393" s="84" t="str">
        <f t="shared" si="22"/>
        <v/>
      </c>
      <c r="K393" s="80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ht="15.75" customHeight="1" x14ac:dyDescent="0.25">
      <c r="A394" s="62"/>
      <c r="B394" s="62"/>
      <c r="C394" s="76"/>
      <c r="D394" s="77"/>
      <c r="E394" s="62"/>
      <c r="F394" s="83" t="str">
        <f t="shared" si="18"/>
        <v/>
      </c>
      <c r="G394" s="84" t="str">
        <f t="shared" si="19"/>
        <v/>
      </c>
      <c r="H394" s="84" t="str">
        <f t="shared" si="20"/>
        <v/>
      </c>
      <c r="I394" s="84" t="str">
        <f t="shared" si="21"/>
        <v/>
      </c>
      <c r="J394" s="84" t="str">
        <f t="shared" si="22"/>
        <v/>
      </c>
      <c r="K394" s="80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ht="15.75" customHeight="1" x14ac:dyDescent="0.25">
      <c r="A395" s="62"/>
      <c r="B395" s="62"/>
      <c r="C395" s="76"/>
      <c r="D395" s="77"/>
      <c r="E395" s="62"/>
      <c r="F395" s="83" t="str">
        <f t="shared" si="18"/>
        <v/>
      </c>
      <c r="G395" s="84" t="str">
        <f t="shared" si="19"/>
        <v/>
      </c>
      <c r="H395" s="84" t="str">
        <f t="shared" si="20"/>
        <v/>
      </c>
      <c r="I395" s="84" t="str">
        <f t="shared" si="21"/>
        <v/>
      </c>
      <c r="J395" s="84" t="str">
        <f t="shared" si="22"/>
        <v/>
      </c>
      <c r="K395" s="80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ht="15.75" customHeight="1" x14ac:dyDescent="0.25">
      <c r="A396" s="62"/>
      <c r="B396" s="62"/>
      <c r="C396" s="76"/>
      <c r="D396" s="77"/>
      <c r="E396" s="62"/>
      <c r="F396" s="83" t="str">
        <f t="shared" si="18"/>
        <v/>
      </c>
      <c r="G396" s="84" t="str">
        <f t="shared" si="19"/>
        <v/>
      </c>
      <c r="H396" s="84" t="str">
        <f t="shared" si="20"/>
        <v/>
      </c>
      <c r="I396" s="84" t="str">
        <f t="shared" si="21"/>
        <v/>
      </c>
      <c r="J396" s="84" t="str">
        <f t="shared" si="22"/>
        <v/>
      </c>
      <c r="K396" s="80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ht="15.75" customHeight="1" x14ac:dyDescent="0.25">
      <c r="A397" s="62"/>
      <c r="B397" s="62"/>
      <c r="C397" s="76"/>
      <c r="D397" s="77"/>
      <c r="E397" s="62"/>
      <c r="F397" s="83" t="str">
        <f t="shared" si="18"/>
        <v/>
      </c>
      <c r="G397" s="84" t="str">
        <f t="shared" si="19"/>
        <v/>
      </c>
      <c r="H397" s="84" t="str">
        <f t="shared" si="20"/>
        <v/>
      </c>
      <c r="I397" s="84" t="str">
        <f t="shared" si="21"/>
        <v/>
      </c>
      <c r="J397" s="84" t="str">
        <f t="shared" si="22"/>
        <v/>
      </c>
      <c r="K397" s="80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ht="15.75" customHeight="1" x14ac:dyDescent="0.25">
      <c r="A398" s="62"/>
      <c r="B398" s="62"/>
      <c r="C398" s="76"/>
      <c r="D398" s="77"/>
      <c r="E398" s="62"/>
      <c r="F398" s="83" t="str">
        <f t="shared" si="18"/>
        <v/>
      </c>
      <c r="G398" s="84" t="str">
        <f t="shared" si="19"/>
        <v/>
      </c>
      <c r="H398" s="84" t="str">
        <f t="shared" si="20"/>
        <v/>
      </c>
      <c r="I398" s="84" t="str">
        <f t="shared" si="21"/>
        <v/>
      </c>
      <c r="J398" s="84" t="str">
        <f t="shared" si="22"/>
        <v/>
      </c>
      <c r="K398" s="80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ht="15.75" customHeight="1" x14ac:dyDescent="0.25">
      <c r="A399" s="62"/>
      <c r="B399" s="62"/>
      <c r="C399" s="76"/>
      <c r="D399" s="77"/>
      <c r="E399" s="62"/>
      <c r="F399" s="83" t="str">
        <f t="shared" si="18"/>
        <v/>
      </c>
      <c r="G399" s="84" t="str">
        <f t="shared" si="19"/>
        <v/>
      </c>
      <c r="H399" s="84" t="str">
        <f t="shared" si="20"/>
        <v/>
      </c>
      <c r="I399" s="84" t="str">
        <f t="shared" si="21"/>
        <v/>
      </c>
      <c r="J399" s="84" t="str">
        <f t="shared" si="22"/>
        <v/>
      </c>
      <c r="K399" s="80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ht="15.75" customHeight="1" x14ac:dyDescent="0.25">
      <c r="A400" s="62"/>
      <c r="B400" s="62"/>
      <c r="C400" s="76"/>
      <c r="D400" s="77"/>
      <c r="E400" s="62"/>
      <c r="F400" s="83" t="str">
        <f t="shared" si="18"/>
        <v/>
      </c>
      <c r="G400" s="84" t="str">
        <f t="shared" si="19"/>
        <v/>
      </c>
      <c r="H400" s="84" t="str">
        <f t="shared" si="20"/>
        <v/>
      </c>
      <c r="I400" s="84" t="str">
        <f t="shared" si="21"/>
        <v/>
      </c>
      <c r="J400" s="84" t="str">
        <f t="shared" si="22"/>
        <v/>
      </c>
      <c r="K400" s="80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ht="15.75" customHeight="1" x14ac:dyDescent="0.25">
      <c r="A401" s="62"/>
      <c r="B401" s="62"/>
      <c r="C401" s="76"/>
      <c r="D401" s="77"/>
      <c r="E401" s="62"/>
      <c r="F401" s="83" t="str">
        <f t="shared" si="18"/>
        <v/>
      </c>
      <c r="G401" s="84" t="str">
        <f t="shared" si="19"/>
        <v/>
      </c>
      <c r="H401" s="84" t="str">
        <f t="shared" si="20"/>
        <v/>
      </c>
      <c r="I401" s="84" t="str">
        <f t="shared" si="21"/>
        <v/>
      </c>
      <c r="J401" s="84" t="str">
        <f t="shared" si="22"/>
        <v/>
      </c>
      <c r="K401" s="80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ht="15.75" customHeight="1" x14ac:dyDescent="0.25">
      <c r="A402" s="62"/>
      <c r="B402" s="62"/>
      <c r="C402" s="76"/>
      <c r="D402" s="77"/>
      <c r="E402" s="62"/>
      <c r="F402" s="83" t="str">
        <f t="shared" si="18"/>
        <v/>
      </c>
      <c r="G402" s="84" t="str">
        <f t="shared" si="19"/>
        <v/>
      </c>
      <c r="H402" s="84" t="str">
        <f t="shared" si="20"/>
        <v/>
      </c>
      <c r="I402" s="84" t="str">
        <f t="shared" si="21"/>
        <v/>
      </c>
      <c r="J402" s="84" t="str">
        <f t="shared" si="22"/>
        <v/>
      </c>
      <c r="K402" s="80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ht="15.75" customHeight="1" x14ac:dyDescent="0.25">
      <c r="A403" s="62"/>
      <c r="B403" s="62"/>
      <c r="C403" s="76"/>
      <c r="D403" s="77"/>
      <c r="E403" s="62"/>
      <c r="F403" s="83" t="str">
        <f t="shared" si="18"/>
        <v/>
      </c>
      <c r="G403" s="84" t="str">
        <f t="shared" si="19"/>
        <v/>
      </c>
      <c r="H403" s="84" t="str">
        <f t="shared" si="20"/>
        <v/>
      </c>
      <c r="I403" s="84" t="str">
        <f t="shared" si="21"/>
        <v/>
      </c>
      <c r="J403" s="84" t="str">
        <f t="shared" si="22"/>
        <v/>
      </c>
      <c r="K403" s="80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ht="15.75" customHeight="1" x14ac:dyDescent="0.25">
      <c r="A404" s="62"/>
      <c r="B404" s="62"/>
      <c r="C404" s="76"/>
      <c r="D404" s="77"/>
      <c r="E404" s="62"/>
      <c r="F404" s="83" t="str">
        <f t="shared" si="18"/>
        <v/>
      </c>
      <c r="G404" s="84" t="str">
        <f t="shared" si="19"/>
        <v/>
      </c>
      <c r="H404" s="84" t="str">
        <f t="shared" si="20"/>
        <v/>
      </c>
      <c r="I404" s="84" t="str">
        <f t="shared" si="21"/>
        <v/>
      </c>
      <c r="J404" s="84" t="str">
        <f t="shared" si="22"/>
        <v/>
      </c>
      <c r="K404" s="80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ht="15.75" customHeight="1" x14ac:dyDescent="0.25">
      <c r="A405" s="62"/>
      <c r="B405" s="62"/>
      <c r="C405" s="76"/>
      <c r="D405" s="77"/>
      <c r="E405" s="62"/>
      <c r="F405" s="83" t="str">
        <f t="shared" si="18"/>
        <v/>
      </c>
      <c r="G405" s="84" t="str">
        <f t="shared" si="19"/>
        <v/>
      </c>
      <c r="H405" s="84" t="str">
        <f t="shared" si="20"/>
        <v/>
      </c>
      <c r="I405" s="84" t="str">
        <f t="shared" si="21"/>
        <v/>
      </c>
      <c r="J405" s="84" t="str">
        <f t="shared" si="22"/>
        <v/>
      </c>
      <c r="K405" s="80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ht="15.75" customHeight="1" x14ac:dyDescent="0.25">
      <c r="A406" s="62"/>
      <c r="B406" s="62"/>
      <c r="C406" s="76"/>
      <c r="D406" s="77"/>
      <c r="E406" s="62"/>
      <c r="F406" s="83" t="str">
        <f t="shared" si="18"/>
        <v/>
      </c>
      <c r="G406" s="84" t="str">
        <f t="shared" si="19"/>
        <v/>
      </c>
      <c r="H406" s="84" t="str">
        <f t="shared" si="20"/>
        <v/>
      </c>
      <c r="I406" s="84" t="str">
        <f t="shared" si="21"/>
        <v/>
      </c>
      <c r="J406" s="84" t="str">
        <f t="shared" si="22"/>
        <v/>
      </c>
      <c r="K406" s="80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ht="15.75" customHeight="1" x14ac:dyDescent="0.25">
      <c r="A407" s="62"/>
      <c r="B407" s="62"/>
      <c r="C407" s="76"/>
      <c r="D407" s="77"/>
      <c r="E407" s="62"/>
      <c r="F407" s="83" t="str">
        <f t="shared" si="18"/>
        <v/>
      </c>
      <c r="G407" s="84" t="str">
        <f t="shared" si="19"/>
        <v/>
      </c>
      <c r="H407" s="84" t="str">
        <f t="shared" si="20"/>
        <v/>
      </c>
      <c r="I407" s="84" t="str">
        <f t="shared" si="21"/>
        <v/>
      </c>
      <c r="J407" s="84" t="str">
        <f t="shared" si="22"/>
        <v/>
      </c>
      <c r="K407" s="80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ht="15.75" customHeight="1" x14ac:dyDescent="0.25">
      <c r="A408" s="62"/>
      <c r="B408" s="62"/>
      <c r="C408" s="76"/>
      <c r="D408" s="77"/>
      <c r="E408" s="62"/>
      <c r="F408" s="83" t="str">
        <f t="shared" si="18"/>
        <v/>
      </c>
      <c r="G408" s="84" t="str">
        <f t="shared" si="19"/>
        <v/>
      </c>
      <c r="H408" s="84" t="str">
        <f t="shared" si="20"/>
        <v/>
      </c>
      <c r="I408" s="84" t="str">
        <f t="shared" si="21"/>
        <v/>
      </c>
      <c r="J408" s="84" t="str">
        <f t="shared" si="22"/>
        <v/>
      </c>
      <c r="K408" s="80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ht="15.75" customHeight="1" x14ac:dyDescent="0.25">
      <c r="A409" s="62"/>
      <c r="B409" s="62"/>
      <c r="C409" s="76"/>
      <c r="D409" s="77"/>
      <c r="E409" s="62"/>
      <c r="F409" s="83" t="str">
        <f t="shared" si="18"/>
        <v/>
      </c>
      <c r="G409" s="84" t="str">
        <f t="shared" si="19"/>
        <v/>
      </c>
      <c r="H409" s="84" t="str">
        <f t="shared" si="20"/>
        <v/>
      </c>
      <c r="I409" s="84" t="str">
        <f t="shared" si="21"/>
        <v/>
      </c>
      <c r="J409" s="84" t="str">
        <f t="shared" si="22"/>
        <v/>
      </c>
      <c r="K409" s="80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ht="15.75" customHeight="1" x14ac:dyDescent="0.25">
      <c r="A410" s="62"/>
      <c r="B410" s="62"/>
      <c r="C410" s="76"/>
      <c r="D410" s="77"/>
      <c r="E410" s="62"/>
      <c r="F410" s="83" t="str">
        <f t="shared" si="18"/>
        <v/>
      </c>
      <c r="G410" s="84" t="str">
        <f t="shared" si="19"/>
        <v/>
      </c>
      <c r="H410" s="84" t="str">
        <f t="shared" si="20"/>
        <v/>
      </c>
      <c r="I410" s="84" t="str">
        <f t="shared" si="21"/>
        <v/>
      </c>
      <c r="J410" s="84" t="str">
        <f t="shared" si="22"/>
        <v/>
      </c>
      <c r="K410" s="80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ht="15.75" customHeight="1" x14ac:dyDescent="0.25">
      <c r="A411" s="62"/>
      <c r="B411" s="62"/>
      <c r="C411" s="76"/>
      <c r="D411" s="77"/>
      <c r="E411" s="62"/>
      <c r="F411" s="83" t="str">
        <f t="shared" si="18"/>
        <v/>
      </c>
      <c r="G411" s="84" t="str">
        <f t="shared" si="19"/>
        <v/>
      </c>
      <c r="H411" s="84" t="str">
        <f t="shared" si="20"/>
        <v/>
      </c>
      <c r="I411" s="84" t="str">
        <f t="shared" si="21"/>
        <v/>
      </c>
      <c r="J411" s="84" t="str">
        <f t="shared" si="22"/>
        <v/>
      </c>
      <c r="K411" s="80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ht="15.75" customHeight="1" x14ac:dyDescent="0.25">
      <c r="A412" s="62"/>
      <c r="B412" s="62"/>
      <c r="C412" s="76"/>
      <c r="D412" s="77"/>
      <c r="E412" s="62"/>
      <c r="F412" s="83" t="str">
        <f t="shared" si="18"/>
        <v/>
      </c>
      <c r="G412" s="84" t="str">
        <f t="shared" si="19"/>
        <v/>
      </c>
      <c r="H412" s="84" t="str">
        <f t="shared" si="20"/>
        <v/>
      </c>
      <c r="I412" s="84" t="str">
        <f t="shared" si="21"/>
        <v/>
      </c>
      <c r="J412" s="84" t="str">
        <f t="shared" si="22"/>
        <v/>
      </c>
      <c r="K412" s="80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ht="15.75" customHeight="1" x14ac:dyDescent="0.25">
      <c r="A413" s="62"/>
      <c r="B413" s="62"/>
      <c r="C413" s="76"/>
      <c r="D413" s="77"/>
      <c r="E413" s="62"/>
      <c r="F413" s="83" t="str">
        <f t="shared" si="18"/>
        <v/>
      </c>
      <c r="G413" s="84" t="str">
        <f t="shared" si="19"/>
        <v/>
      </c>
      <c r="H413" s="84" t="str">
        <f t="shared" si="20"/>
        <v/>
      </c>
      <c r="I413" s="84" t="str">
        <f t="shared" si="21"/>
        <v/>
      </c>
      <c r="J413" s="84" t="str">
        <f t="shared" si="22"/>
        <v/>
      </c>
      <c r="K413" s="80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ht="15.75" customHeight="1" x14ac:dyDescent="0.25">
      <c r="A414" s="62"/>
      <c r="B414" s="62"/>
      <c r="C414" s="76"/>
      <c r="D414" s="77"/>
      <c r="E414" s="62"/>
      <c r="F414" s="83" t="str">
        <f t="shared" si="18"/>
        <v/>
      </c>
      <c r="G414" s="84" t="str">
        <f t="shared" si="19"/>
        <v/>
      </c>
      <c r="H414" s="84" t="str">
        <f t="shared" si="20"/>
        <v/>
      </c>
      <c r="I414" s="84" t="str">
        <f t="shared" si="21"/>
        <v/>
      </c>
      <c r="J414" s="84" t="str">
        <f t="shared" si="22"/>
        <v/>
      </c>
      <c r="K414" s="80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ht="15.75" customHeight="1" x14ac:dyDescent="0.25">
      <c r="A415" s="62"/>
      <c r="B415" s="62"/>
      <c r="C415" s="76"/>
      <c r="D415" s="77"/>
      <c r="E415" s="62"/>
      <c r="F415" s="83" t="str">
        <f t="shared" si="18"/>
        <v/>
      </c>
      <c r="G415" s="84" t="str">
        <f t="shared" si="19"/>
        <v/>
      </c>
      <c r="H415" s="84" t="str">
        <f t="shared" si="20"/>
        <v/>
      </c>
      <c r="I415" s="84" t="str">
        <f t="shared" si="21"/>
        <v/>
      </c>
      <c r="J415" s="84" t="str">
        <f t="shared" si="22"/>
        <v/>
      </c>
      <c r="K415" s="80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ht="15.75" customHeight="1" x14ac:dyDescent="0.25">
      <c r="A416" s="62"/>
      <c r="B416" s="62"/>
      <c r="C416" s="76"/>
      <c r="D416" s="77"/>
      <c r="E416" s="62"/>
      <c r="F416" s="83" t="str">
        <f t="shared" si="18"/>
        <v/>
      </c>
      <c r="G416" s="84" t="str">
        <f t="shared" si="19"/>
        <v/>
      </c>
      <c r="H416" s="84" t="str">
        <f t="shared" si="20"/>
        <v/>
      </c>
      <c r="I416" s="84" t="str">
        <f t="shared" si="21"/>
        <v/>
      </c>
      <c r="J416" s="84" t="str">
        <f t="shared" si="22"/>
        <v/>
      </c>
      <c r="K416" s="80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ht="15.75" customHeight="1" x14ac:dyDescent="0.25">
      <c r="A417" s="62"/>
      <c r="B417" s="62"/>
      <c r="C417" s="76"/>
      <c r="D417" s="77"/>
      <c r="E417" s="62"/>
      <c r="F417" s="83" t="str">
        <f t="shared" si="18"/>
        <v/>
      </c>
      <c r="G417" s="84" t="str">
        <f t="shared" si="19"/>
        <v/>
      </c>
      <c r="H417" s="84" t="str">
        <f t="shared" si="20"/>
        <v/>
      </c>
      <c r="I417" s="84" t="str">
        <f t="shared" si="21"/>
        <v/>
      </c>
      <c r="J417" s="84" t="str">
        <f t="shared" si="22"/>
        <v/>
      </c>
      <c r="K417" s="80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ht="15.75" customHeight="1" x14ac:dyDescent="0.25">
      <c r="A418" s="62"/>
      <c r="B418" s="62"/>
      <c r="C418" s="76"/>
      <c r="D418" s="77"/>
      <c r="E418" s="62"/>
      <c r="F418" s="83" t="str">
        <f t="shared" si="18"/>
        <v/>
      </c>
      <c r="G418" s="84" t="str">
        <f t="shared" si="19"/>
        <v/>
      </c>
      <c r="H418" s="84" t="str">
        <f t="shared" si="20"/>
        <v/>
      </c>
      <c r="I418" s="84" t="str">
        <f t="shared" si="21"/>
        <v/>
      </c>
      <c r="J418" s="84" t="str">
        <f t="shared" si="22"/>
        <v/>
      </c>
      <c r="K418" s="80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ht="15.75" customHeight="1" x14ac:dyDescent="0.25">
      <c r="A419" s="62"/>
      <c r="B419" s="62"/>
      <c r="C419" s="76"/>
      <c r="D419" s="77"/>
      <c r="E419" s="62"/>
      <c r="F419" s="83" t="str">
        <f t="shared" si="18"/>
        <v/>
      </c>
      <c r="G419" s="84" t="str">
        <f t="shared" si="19"/>
        <v/>
      </c>
      <c r="H419" s="84" t="str">
        <f t="shared" si="20"/>
        <v/>
      </c>
      <c r="I419" s="84" t="str">
        <f t="shared" si="21"/>
        <v/>
      </c>
      <c r="J419" s="84" t="str">
        <f t="shared" si="22"/>
        <v/>
      </c>
      <c r="K419" s="80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ht="15.75" customHeight="1" x14ac:dyDescent="0.25">
      <c r="A420" s="62"/>
      <c r="B420" s="62"/>
      <c r="C420" s="76"/>
      <c r="D420" s="77"/>
      <c r="E420" s="62"/>
      <c r="F420" s="83" t="str">
        <f t="shared" si="18"/>
        <v/>
      </c>
      <c r="G420" s="84" t="str">
        <f t="shared" si="19"/>
        <v/>
      </c>
      <c r="H420" s="84" t="str">
        <f t="shared" si="20"/>
        <v/>
      </c>
      <c r="I420" s="84" t="str">
        <f t="shared" si="21"/>
        <v/>
      </c>
      <c r="J420" s="84" t="str">
        <f t="shared" si="22"/>
        <v/>
      </c>
      <c r="K420" s="80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ht="15.75" customHeight="1" x14ac:dyDescent="0.25">
      <c r="A421" s="62"/>
      <c r="B421" s="62"/>
      <c r="C421" s="76"/>
      <c r="D421" s="77"/>
      <c r="E421" s="62"/>
      <c r="F421" s="83" t="str">
        <f t="shared" si="18"/>
        <v/>
      </c>
      <c r="G421" s="84" t="str">
        <f t="shared" si="19"/>
        <v/>
      </c>
      <c r="H421" s="84" t="str">
        <f t="shared" si="20"/>
        <v/>
      </c>
      <c r="I421" s="84" t="str">
        <f t="shared" si="21"/>
        <v/>
      </c>
      <c r="J421" s="84" t="str">
        <f t="shared" si="22"/>
        <v/>
      </c>
      <c r="K421" s="80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ht="15.75" customHeight="1" x14ac:dyDescent="0.25">
      <c r="A422" s="62"/>
      <c r="B422" s="62"/>
      <c r="C422" s="76"/>
      <c r="D422" s="77"/>
      <c r="E422" s="62"/>
      <c r="F422" s="83" t="str">
        <f t="shared" si="18"/>
        <v/>
      </c>
      <c r="G422" s="84" t="str">
        <f t="shared" si="19"/>
        <v/>
      </c>
      <c r="H422" s="84" t="str">
        <f t="shared" si="20"/>
        <v/>
      </c>
      <c r="I422" s="84" t="str">
        <f t="shared" si="21"/>
        <v/>
      </c>
      <c r="J422" s="84" t="str">
        <f t="shared" si="22"/>
        <v/>
      </c>
      <c r="K422" s="80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ht="15.75" customHeight="1" x14ac:dyDescent="0.25">
      <c r="A423" s="62"/>
      <c r="B423" s="62"/>
      <c r="C423" s="76"/>
      <c r="D423" s="77"/>
      <c r="E423" s="62"/>
      <c r="F423" s="83" t="str">
        <f t="shared" si="18"/>
        <v/>
      </c>
      <c r="G423" s="84" t="str">
        <f t="shared" si="19"/>
        <v/>
      </c>
      <c r="H423" s="84" t="str">
        <f t="shared" si="20"/>
        <v/>
      </c>
      <c r="I423" s="84" t="str">
        <f t="shared" si="21"/>
        <v/>
      </c>
      <c r="J423" s="84" t="str">
        <f t="shared" si="22"/>
        <v/>
      </c>
      <c r="K423" s="80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ht="15.75" customHeight="1" x14ac:dyDescent="0.25">
      <c r="A424" s="62"/>
      <c r="B424" s="62"/>
      <c r="C424" s="76"/>
      <c r="D424" s="77"/>
      <c r="E424" s="62"/>
      <c r="F424" s="83" t="str">
        <f t="shared" si="18"/>
        <v/>
      </c>
      <c r="G424" s="84" t="str">
        <f t="shared" si="19"/>
        <v/>
      </c>
      <c r="H424" s="84" t="str">
        <f t="shared" si="20"/>
        <v/>
      </c>
      <c r="I424" s="84" t="str">
        <f t="shared" si="21"/>
        <v/>
      </c>
      <c r="J424" s="84" t="str">
        <f t="shared" si="22"/>
        <v/>
      </c>
      <c r="K424" s="80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ht="15.75" customHeight="1" x14ac:dyDescent="0.25">
      <c r="A425" s="62"/>
      <c r="B425" s="62"/>
      <c r="C425" s="76"/>
      <c r="D425" s="77"/>
      <c r="E425" s="62"/>
      <c r="F425" s="83" t="str">
        <f t="shared" si="18"/>
        <v/>
      </c>
      <c r="G425" s="84" t="str">
        <f t="shared" si="19"/>
        <v/>
      </c>
      <c r="H425" s="84" t="str">
        <f t="shared" si="20"/>
        <v/>
      </c>
      <c r="I425" s="84" t="str">
        <f t="shared" si="21"/>
        <v/>
      </c>
      <c r="J425" s="84" t="str">
        <f t="shared" si="22"/>
        <v/>
      </c>
      <c r="K425" s="80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ht="15.75" customHeight="1" x14ac:dyDescent="0.25">
      <c r="A426" s="62"/>
      <c r="B426" s="62"/>
      <c r="C426" s="76"/>
      <c r="D426" s="77"/>
      <c r="E426" s="62"/>
      <c r="F426" s="83" t="str">
        <f t="shared" si="18"/>
        <v/>
      </c>
      <c r="G426" s="84" t="str">
        <f t="shared" si="19"/>
        <v/>
      </c>
      <c r="H426" s="84" t="str">
        <f t="shared" si="20"/>
        <v/>
      </c>
      <c r="I426" s="84" t="str">
        <f t="shared" si="21"/>
        <v/>
      </c>
      <c r="J426" s="84" t="str">
        <f t="shared" si="22"/>
        <v/>
      </c>
      <c r="K426" s="80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ht="15.75" customHeight="1" x14ac:dyDescent="0.25">
      <c r="A427" s="62"/>
      <c r="B427" s="62"/>
      <c r="C427" s="76"/>
      <c r="D427" s="77"/>
      <c r="E427" s="62"/>
      <c r="F427" s="83" t="str">
        <f t="shared" si="18"/>
        <v/>
      </c>
      <c r="G427" s="84" t="str">
        <f t="shared" si="19"/>
        <v/>
      </c>
      <c r="H427" s="84" t="str">
        <f t="shared" si="20"/>
        <v/>
      </c>
      <c r="I427" s="84" t="str">
        <f t="shared" si="21"/>
        <v/>
      </c>
      <c r="J427" s="84" t="str">
        <f t="shared" si="22"/>
        <v/>
      </c>
      <c r="K427" s="80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ht="15.75" customHeight="1" x14ac:dyDescent="0.25">
      <c r="A428" s="62"/>
      <c r="B428" s="62"/>
      <c r="C428" s="76"/>
      <c r="D428" s="77"/>
      <c r="E428" s="62"/>
      <c r="F428" s="83" t="str">
        <f t="shared" si="18"/>
        <v/>
      </c>
      <c r="G428" s="84" t="str">
        <f t="shared" si="19"/>
        <v/>
      </c>
      <c r="H428" s="84" t="str">
        <f t="shared" si="20"/>
        <v/>
      </c>
      <c r="I428" s="84" t="str">
        <f t="shared" si="21"/>
        <v/>
      </c>
      <c r="J428" s="84" t="str">
        <f t="shared" si="22"/>
        <v/>
      </c>
      <c r="K428" s="80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ht="15.75" customHeight="1" x14ac:dyDescent="0.25">
      <c r="A429" s="62"/>
      <c r="B429" s="62"/>
      <c r="C429" s="76"/>
      <c r="D429" s="77"/>
      <c r="E429" s="62"/>
      <c r="F429" s="83" t="str">
        <f t="shared" si="18"/>
        <v/>
      </c>
      <c r="G429" s="84" t="str">
        <f t="shared" si="19"/>
        <v/>
      </c>
      <c r="H429" s="84" t="str">
        <f t="shared" si="20"/>
        <v/>
      </c>
      <c r="I429" s="84" t="str">
        <f t="shared" si="21"/>
        <v/>
      </c>
      <c r="J429" s="84" t="str">
        <f t="shared" si="22"/>
        <v/>
      </c>
      <c r="K429" s="80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spans="1:26" ht="15.75" customHeight="1" x14ac:dyDescent="0.25">
      <c r="A430" s="62"/>
      <c r="B430" s="62"/>
      <c r="C430" s="76"/>
      <c r="D430" s="77"/>
      <c r="E430" s="62"/>
      <c r="F430" s="83" t="str">
        <f t="shared" si="18"/>
        <v/>
      </c>
      <c r="G430" s="84" t="str">
        <f t="shared" si="19"/>
        <v/>
      </c>
      <c r="H430" s="84" t="str">
        <f t="shared" si="20"/>
        <v/>
      </c>
      <c r="I430" s="84" t="str">
        <f t="shared" si="21"/>
        <v/>
      </c>
      <c r="J430" s="84" t="str">
        <f t="shared" si="22"/>
        <v/>
      </c>
      <c r="K430" s="80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spans="1:26" ht="15.75" customHeight="1" x14ac:dyDescent="0.25">
      <c r="A431" s="62"/>
      <c r="B431" s="62"/>
      <c r="C431" s="76"/>
      <c r="D431" s="77"/>
      <c r="E431" s="62"/>
      <c r="F431" s="83" t="str">
        <f t="shared" si="18"/>
        <v/>
      </c>
      <c r="G431" s="84" t="str">
        <f t="shared" si="19"/>
        <v/>
      </c>
      <c r="H431" s="84" t="str">
        <f t="shared" si="20"/>
        <v/>
      </c>
      <c r="I431" s="84" t="str">
        <f t="shared" si="21"/>
        <v/>
      </c>
      <c r="J431" s="84" t="str">
        <f t="shared" si="22"/>
        <v/>
      </c>
      <c r="K431" s="80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spans="1:26" ht="15.75" customHeight="1" x14ac:dyDescent="0.25">
      <c r="A432" s="62"/>
      <c r="B432" s="62"/>
      <c r="C432" s="76"/>
      <c r="D432" s="77"/>
      <c r="E432" s="62"/>
      <c r="F432" s="83" t="str">
        <f t="shared" si="18"/>
        <v/>
      </c>
      <c r="G432" s="84" t="str">
        <f t="shared" si="19"/>
        <v/>
      </c>
      <c r="H432" s="84" t="str">
        <f t="shared" si="20"/>
        <v/>
      </c>
      <c r="I432" s="84" t="str">
        <f t="shared" si="21"/>
        <v/>
      </c>
      <c r="J432" s="84" t="str">
        <f t="shared" si="22"/>
        <v/>
      </c>
      <c r="K432" s="80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spans="1:26" ht="15.75" customHeight="1" x14ac:dyDescent="0.25">
      <c r="A433" s="62"/>
      <c r="B433" s="62"/>
      <c r="C433" s="76"/>
      <c r="D433" s="77"/>
      <c r="E433" s="62"/>
      <c r="F433" s="83" t="str">
        <f t="shared" si="18"/>
        <v/>
      </c>
      <c r="G433" s="84" t="str">
        <f t="shared" si="19"/>
        <v/>
      </c>
      <c r="H433" s="84" t="str">
        <f t="shared" si="20"/>
        <v/>
      </c>
      <c r="I433" s="84" t="str">
        <f t="shared" si="21"/>
        <v/>
      </c>
      <c r="J433" s="84" t="str">
        <f t="shared" si="22"/>
        <v/>
      </c>
      <c r="K433" s="80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spans="1:26" ht="15.75" customHeight="1" x14ac:dyDescent="0.25">
      <c r="A434" s="62"/>
      <c r="B434" s="62"/>
      <c r="C434" s="76"/>
      <c r="D434" s="77"/>
      <c r="E434" s="62"/>
      <c r="F434" s="83" t="str">
        <f t="shared" si="18"/>
        <v/>
      </c>
      <c r="G434" s="84" t="str">
        <f t="shared" si="19"/>
        <v/>
      </c>
      <c r="H434" s="84" t="str">
        <f t="shared" si="20"/>
        <v/>
      </c>
      <c r="I434" s="84" t="str">
        <f t="shared" si="21"/>
        <v/>
      </c>
      <c r="J434" s="84" t="str">
        <f t="shared" si="22"/>
        <v/>
      </c>
      <c r="K434" s="80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spans="1:26" ht="15.75" customHeight="1" x14ac:dyDescent="0.25">
      <c r="A435" s="62"/>
      <c r="B435" s="62"/>
      <c r="C435" s="76"/>
      <c r="D435" s="77"/>
      <c r="E435" s="62"/>
      <c r="F435" s="83" t="str">
        <f t="shared" si="18"/>
        <v/>
      </c>
      <c r="G435" s="84" t="str">
        <f t="shared" si="19"/>
        <v/>
      </c>
      <c r="H435" s="84" t="str">
        <f t="shared" si="20"/>
        <v/>
      </c>
      <c r="I435" s="84" t="str">
        <f t="shared" si="21"/>
        <v/>
      </c>
      <c r="J435" s="84" t="str">
        <f t="shared" si="22"/>
        <v/>
      </c>
      <c r="K435" s="80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spans="1:26" ht="15.75" customHeight="1" x14ac:dyDescent="0.25">
      <c r="A436" s="62"/>
      <c r="B436" s="62"/>
      <c r="C436" s="76"/>
      <c r="D436" s="77"/>
      <c r="E436" s="62"/>
      <c r="F436" s="83" t="str">
        <f t="shared" si="18"/>
        <v/>
      </c>
      <c r="G436" s="84" t="str">
        <f t="shared" si="19"/>
        <v/>
      </c>
      <c r="H436" s="84" t="str">
        <f t="shared" si="20"/>
        <v/>
      </c>
      <c r="I436" s="84" t="str">
        <f t="shared" si="21"/>
        <v/>
      </c>
      <c r="J436" s="84" t="str">
        <f t="shared" si="22"/>
        <v/>
      </c>
      <c r="K436" s="80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spans="1:26" ht="15.75" customHeight="1" x14ac:dyDescent="0.25">
      <c r="A437" s="62"/>
      <c r="B437" s="62"/>
      <c r="C437" s="76"/>
      <c r="D437" s="77"/>
      <c r="E437" s="62"/>
      <c r="F437" s="83" t="str">
        <f t="shared" si="18"/>
        <v/>
      </c>
      <c r="G437" s="84" t="str">
        <f t="shared" si="19"/>
        <v/>
      </c>
      <c r="H437" s="84" t="str">
        <f t="shared" si="20"/>
        <v/>
      </c>
      <c r="I437" s="84" t="str">
        <f t="shared" si="21"/>
        <v/>
      </c>
      <c r="J437" s="84" t="str">
        <f t="shared" si="22"/>
        <v/>
      </c>
      <c r="K437" s="80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spans="1:26" ht="15.75" customHeight="1" x14ac:dyDescent="0.25">
      <c r="A438" s="62"/>
      <c r="B438" s="62"/>
      <c r="C438" s="76"/>
      <c r="D438" s="77"/>
      <c r="E438" s="62"/>
      <c r="F438" s="83" t="str">
        <f t="shared" si="18"/>
        <v/>
      </c>
      <c r="G438" s="84" t="str">
        <f t="shared" si="19"/>
        <v/>
      </c>
      <c r="H438" s="84" t="str">
        <f t="shared" si="20"/>
        <v/>
      </c>
      <c r="I438" s="84" t="str">
        <f t="shared" si="21"/>
        <v/>
      </c>
      <c r="J438" s="84" t="str">
        <f t="shared" si="22"/>
        <v/>
      </c>
      <c r="K438" s="80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spans="1:26" ht="15.75" customHeight="1" x14ac:dyDescent="0.25">
      <c r="A439" s="62"/>
      <c r="B439" s="62"/>
      <c r="C439" s="76"/>
      <c r="D439" s="77"/>
      <c r="E439" s="62"/>
      <c r="F439" s="83" t="str">
        <f t="shared" si="18"/>
        <v/>
      </c>
      <c r="G439" s="84" t="str">
        <f t="shared" si="19"/>
        <v/>
      </c>
      <c r="H439" s="84" t="str">
        <f t="shared" si="20"/>
        <v/>
      </c>
      <c r="I439" s="84" t="str">
        <f t="shared" si="21"/>
        <v/>
      </c>
      <c r="J439" s="84" t="str">
        <f t="shared" si="22"/>
        <v/>
      </c>
      <c r="K439" s="80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spans="1:26" ht="15.75" customHeight="1" x14ac:dyDescent="0.25">
      <c r="A440" s="62"/>
      <c r="B440" s="62"/>
      <c r="C440" s="76"/>
      <c r="D440" s="77"/>
      <c r="E440" s="62"/>
      <c r="F440" s="83" t="str">
        <f t="shared" si="18"/>
        <v/>
      </c>
      <c r="G440" s="84" t="str">
        <f t="shared" si="19"/>
        <v/>
      </c>
      <c r="H440" s="84" t="str">
        <f t="shared" si="20"/>
        <v/>
      </c>
      <c r="I440" s="84" t="str">
        <f t="shared" si="21"/>
        <v/>
      </c>
      <c r="J440" s="84" t="str">
        <f t="shared" si="22"/>
        <v/>
      </c>
      <c r="K440" s="80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spans="1:26" ht="15.75" customHeight="1" x14ac:dyDescent="0.25">
      <c r="A441" s="62"/>
      <c r="B441" s="62"/>
      <c r="C441" s="76"/>
      <c r="D441" s="77"/>
      <c r="E441" s="62"/>
      <c r="F441" s="83" t="str">
        <f t="shared" si="18"/>
        <v/>
      </c>
      <c r="G441" s="84" t="str">
        <f t="shared" si="19"/>
        <v/>
      </c>
      <c r="H441" s="84" t="str">
        <f t="shared" si="20"/>
        <v/>
      </c>
      <c r="I441" s="84" t="str">
        <f t="shared" si="21"/>
        <v/>
      </c>
      <c r="J441" s="84" t="str">
        <f t="shared" si="22"/>
        <v/>
      </c>
      <c r="K441" s="80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spans="1:26" ht="15.75" customHeight="1" x14ac:dyDescent="0.25">
      <c r="A442" s="62"/>
      <c r="B442" s="62"/>
      <c r="C442" s="76"/>
      <c r="D442" s="77"/>
      <c r="E442" s="62"/>
      <c r="F442" s="83" t="str">
        <f t="shared" si="18"/>
        <v/>
      </c>
      <c r="G442" s="84" t="str">
        <f t="shared" si="19"/>
        <v/>
      </c>
      <c r="H442" s="84" t="str">
        <f t="shared" si="20"/>
        <v/>
      </c>
      <c r="I442" s="84" t="str">
        <f t="shared" si="21"/>
        <v/>
      </c>
      <c r="J442" s="84" t="str">
        <f t="shared" si="22"/>
        <v/>
      </c>
      <c r="K442" s="80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spans="1:26" ht="15.75" customHeight="1" x14ac:dyDescent="0.25">
      <c r="A443" s="62"/>
      <c r="B443" s="62"/>
      <c r="C443" s="76"/>
      <c r="D443" s="77"/>
      <c r="E443" s="62"/>
      <c r="F443" s="83" t="str">
        <f t="shared" si="18"/>
        <v/>
      </c>
      <c r="G443" s="84" t="str">
        <f t="shared" si="19"/>
        <v/>
      </c>
      <c r="H443" s="84" t="str">
        <f t="shared" si="20"/>
        <v/>
      </c>
      <c r="I443" s="84" t="str">
        <f t="shared" si="21"/>
        <v/>
      </c>
      <c r="J443" s="84" t="str">
        <f t="shared" si="22"/>
        <v/>
      </c>
      <c r="K443" s="80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spans="1:26" ht="15.75" customHeight="1" x14ac:dyDescent="0.25">
      <c r="A444" s="62"/>
      <c r="B444" s="62"/>
      <c r="C444" s="76"/>
      <c r="D444" s="77"/>
      <c r="E444" s="62"/>
      <c r="F444" s="83" t="str">
        <f t="shared" si="18"/>
        <v/>
      </c>
      <c r="G444" s="84" t="str">
        <f t="shared" si="19"/>
        <v/>
      </c>
      <c r="H444" s="84" t="str">
        <f t="shared" si="20"/>
        <v/>
      </c>
      <c r="I444" s="84" t="str">
        <f t="shared" si="21"/>
        <v/>
      </c>
      <c r="J444" s="84" t="str">
        <f t="shared" si="22"/>
        <v/>
      </c>
      <c r="K444" s="80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spans="1:26" ht="15.75" customHeight="1" x14ac:dyDescent="0.25">
      <c r="A445" s="62"/>
      <c r="B445" s="62"/>
      <c r="C445" s="76"/>
      <c r="D445" s="77"/>
      <c r="E445" s="62"/>
      <c r="F445" s="83" t="str">
        <f t="shared" si="18"/>
        <v/>
      </c>
      <c r="G445" s="84" t="str">
        <f t="shared" si="19"/>
        <v/>
      </c>
      <c r="H445" s="84" t="str">
        <f t="shared" si="20"/>
        <v/>
      </c>
      <c r="I445" s="84" t="str">
        <f t="shared" si="21"/>
        <v/>
      </c>
      <c r="J445" s="84" t="str">
        <f t="shared" si="22"/>
        <v/>
      </c>
      <c r="K445" s="80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spans="1:26" ht="15.75" customHeight="1" x14ac:dyDescent="0.25">
      <c r="A446" s="62"/>
      <c r="B446" s="62"/>
      <c r="C446" s="76"/>
      <c r="D446" s="77"/>
      <c r="E446" s="62"/>
      <c r="F446" s="83" t="str">
        <f t="shared" si="18"/>
        <v/>
      </c>
      <c r="G446" s="84" t="str">
        <f t="shared" si="19"/>
        <v/>
      </c>
      <c r="H446" s="84" t="str">
        <f t="shared" si="20"/>
        <v/>
      </c>
      <c r="I446" s="84" t="str">
        <f t="shared" si="21"/>
        <v/>
      </c>
      <c r="J446" s="84" t="str">
        <f t="shared" si="22"/>
        <v/>
      </c>
      <c r="K446" s="80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spans="1:26" ht="15.75" customHeight="1" x14ac:dyDescent="0.25">
      <c r="A447" s="62"/>
      <c r="B447" s="62"/>
      <c r="C447" s="76"/>
      <c r="D447" s="77"/>
      <c r="E447" s="62"/>
      <c r="F447" s="83" t="str">
        <f t="shared" si="18"/>
        <v/>
      </c>
      <c r="G447" s="84" t="str">
        <f t="shared" si="19"/>
        <v/>
      </c>
      <c r="H447" s="84" t="str">
        <f t="shared" si="20"/>
        <v/>
      </c>
      <c r="I447" s="84" t="str">
        <f t="shared" si="21"/>
        <v/>
      </c>
      <c r="J447" s="84" t="str">
        <f t="shared" si="22"/>
        <v/>
      </c>
      <c r="K447" s="80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spans="1:26" ht="15.75" customHeight="1" x14ac:dyDescent="0.25">
      <c r="A448" s="62"/>
      <c r="B448" s="62"/>
      <c r="C448" s="76"/>
      <c r="D448" s="77"/>
      <c r="E448" s="62"/>
      <c r="F448" s="83" t="str">
        <f t="shared" si="18"/>
        <v/>
      </c>
      <c r="G448" s="84" t="str">
        <f t="shared" si="19"/>
        <v/>
      </c>
      <c r="H448" s="84" t="str">
        <f t="shared" si="20"/>
        <v/>
      </c>
      <c r="I448" s="84" t="str">
        <f t="shared" si="21"/>
        <v/>
      </c>
      <c r="J448" s="84" t="str">
        <f t="shared" si="22"/>
        <v/>
      </c>
      <c r="K448" s="80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spans="1:26" ht="15.75" customHeight="1" x14ac:dyDescent="0.25">
      <c r="A449" s="62"/>
      <c r="B449" s="62"/>
      <c r="C449" s="76"/>
      <c r="D449" s="77"/>
      <c r="E449" s="62"/>
      <c r="F449" s="83" t="str">
        <f t="shared" si="18"/>
        <v/>
      </c>
      <c r="G449" s="84" t="str">
        <f t="shared" si="19"/>
        <v/>
      </c>
      <c r="H449" s="84" t="str">
        <f t="shared" si="20"/>
        <v/>
      </c>
      <c r="I449" s="84" t="str">
        <f t="shared" si="21"/>
        <v/>
      </c>
      <c r="J449" s="84" t="str">
        <f t="shared" si="22"/>
        <v/>
      </c>
      <c r="K449" s="80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spans="1:26" ht="15.75" customHeight="1" x14ac:dyDescent="0.25">
      <c r="A450" s="62"/>
      <c r="B450" s="62"/>
      <c r="C450" s="76"/>
      <c r="D450" s="77"/>
      <c r="E450" s="62"/>
      <c r="F450" s="83" t="str">
        <f t="shared" si="18"/>
        <v/>
      </c>
      <c r="G450" s="84" t="str">
        <f t="shared" si="19"/>
        <v/>
      </c>
      <c r="H450" s="84" t="str">
        <f t="shared" si="20"/>
        <v/>
      </c>
      <c r="I450" s="84" t="str">
        <f t="shared" si="21"/>
        <v/>
      </c>
      <c r="J450" s="84" t="str">
        <f t="shared" si="22"/>
        <v/>
      </c>
      <c r="K450" s="80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spans="1:26" ht="15.75" customHeight="1" x14ac:dyDescent="0.25">
      <c r="A451" s="62"/>
      <c r="B451" s="62"/>
      <c r="C451" s="76"/>
      <c r="D451" s="77"/>
      <c r="E451" s="62"/>
      <c r="F451" s="83" t="str">
        <f t="shared" si="18"/>
        <v/>
      </c>
      <c r="G451" s="84" t="str">
        <f t="shared" si="19"/>
        <v/>
      </c>
      <c r="H451" s="84" t="str">
        <f t="shared" si="20"/>
        <v/>
      </c>
      <c r="I451" s="84" t="str">
        <f t="shared" si="21"/>
        <v/>
      </c>
      <c r="J451" s="84" t="str">
        <f t="shared" si="22"/>
        <v/>
      </c>
      <c r="K451" s="80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spans="1:26" ht="15.75" customHeight="1" x14ac:dyDescent="0.25">
      <c r="A452" s="62"/>
      <c r="B452" s="62"/>
      <c r="C452" s="76"/>
      <c r="D452" s="77"/>
      <c r="E452" s="62"/>
      <c r="F452" s="83" t="str">
        <f t="shared" si="18"/>
        <v/>
      </c>
      <c r="G452" s="84" t="str">
        <f t="shared" si="19"/>
        <v/>
      </c>
      <c r="H452" s="84" t="str">
        <f t="shared" si="20"/>
        <v/>
      </c>
      <c r="I452" s="84" t="str">
        <f t="shared" si="21"/>
        <v/>
      </c>
      <c r="J452" s="84" t="str">
        <f t="shared" si="22"/>
        <v/>
      </c>
      <c r="K452" s="80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spans="1:26" ht="15.75" customHeight="1" x14ac:dyDescent="0.25">
      <c r="A453" s="62"/>
      <c r="B453" s="62"/>
      <c r="C453" s="76"/>
      <c r="D453" s="77"/>
      <c r="E453" s="62"/>
      <c r="F453" s="83" t="str">
        <f t="shared" si="18"/>
        <v/>
      </c>
      <c r="G453" s="84" t="str">
        <f t="shared" si="19"/>
        <v/>
      </c>
      <c r="H453" s="84" t="str">
        <f t="shared" si="20"/>
        <v/>
      </c>
      <c r="I453" s="84" t="str">
        <f t="shared" si="21"/>
        <v/>
      </c>
      <c r="J453" s="84" t="str">
        <f t="shared" si="22"/>
        <v/>
      </c>
      <c r="K453" s="80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spans="1:26" ht="15.75" customHeight="1" x14ac:dyDescent="0.25">
      <c r="A454" s="62"/>
      <c r="B454" s="62"/>
      <c r="C454" s="76"/>
      <c r="D454" s="77"/>
      <c r="E454" s="62"/>
      <c r="F454" s="83" t="str">
        <f t="shared" si="18"/>
        <v/>
      </c>
      <c r="G454" s="84" t="str">
        <f t="shared" si="19"/>
        <v/>
      </c>
      <c r="H454" s="84" t="str">
        <f t="shared" si="20"/>
        <v/>
      </c>
      <c r="I454" s="84" t="str">
        <f t="shared" si="21"/>
        <v/>
      </c>
      <c r="J454" s="84" t="str">
        <f t="shared" si="22"/>
        <v/>
      </c>
      <c r="K454" s="80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spans="1:26" ht="15.75" customHeight="1" x14ac:dyDescent="0.25">
      <c r="A455" s="62"/>
      <c r="B455" s="62"/>
      <c r="C455" s="76"/>
      <c r="D455" s="77"/>
      <c r="E455" s="62"/>
      <c r="F455" s="83" t="str">
        <f t="shared" si="18"/>
        <v/>
      </c>
      <c r="G455" s="84" t="str">
        <f t="shared" si="19"/>
        <v/>
      </c>
      <c r="H455" s="84" t="str">
        <f t="shared" si="20"/>
        <v/>
      </c>
      <c r="I455" s="84" t="str">
        <f t="shared" si="21"/>
        <v/>
      </c>
      <c r="J455" s="84" t="str">
        <f t="shared" si="22"/>
        <v/>
      </c>
      <c r="K455" s="80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spans="1:26" ht="15.75" customHeight="1" x14ac:dyDescent="0.25">
      <c r="A456" s="62"/>
      <c r="B456" s="62"/>
      <c r="C456" s="76"/>
      <c r="D456" s="77"/>
      <c r="E456" s="62"/>
      <c r="F456" s="83" t="str">
        <f t="shared" si="18"/>
        <v/>
      </c>
      <c r="G456" s="84" t="str">
        <f t="shared" si="19"/>
        <v/>
      </c>
      <c r="H456" s="84" t="str">
        <f t="shared" si="20"/>
        <v/>
      </c>
      <c r="I456" s="84" t="str">
        <f t="shared" si="21"/>
        <v/>
      </c>
      <c r="J456" s="84" t="str">
        <f t="shared" si="22"/>
        <v/>
      </c>
      <c r="K456" s="80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spans="1:26" ht="15.75" customHeight="1" x14ac:dyDescent="0.25">
      <c r="A457" s="62"/>
      <c r="B457" s="62"/>
      <c r="C457" s="76"/>
      <c r="D457" s="77"/>
      <c r="E457" s="62"/>
      <c r="F457" s="83" t="str">
        <f t="shared" si="18"/>
        <v/>
      </c>
      <c r="G457" s="84" t="str">
        <f t="shared" si="19"/>
        <v/>
      </c>
      <c r="H457" s="84" t="str">
        <f t="shared" si="20"/>
        <v/>
      </c>
      <c r="I457" s="84" t="str">
        <f t="shared" si="21"/>
        <v/>
      </c>
      <c r="J457" s="84" t="str">
        <f t="shared" si="22"/>
        <v/>
      </c>
      <c r="K457" s="80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spans="1:26" ht="15.75" customHeight="1" x14ac:dyDescent="0.25">
      <c r="A458" s="62"/>
      <c r="B458" s="62"/>
      <c r="C458" s="76"/>
      <c r="D458" s="77"/>
      <c r="E458" s="62"/>
      <c r="F458" s="83" t="str">
        <f t="shared" si="18"/>
        <v/>
      </c>
      <c r="G458" s="84" t="str">
        <f t="shared" si="19"/>
        <v/>
      </c>
      <c r="H458" s="84" t="str">
        <f t="shared" si="20"/>
        <v/>
      </c>
      <c r="I458" s="84" t="str">
        <f t="shared" si="21"/>
        <v/>
      </c>
      <c r="J458" s="84" t="str">
        <f t="shared" si="22"/>
        <v/>
      </c>
      <c r="K458" s="80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spans="1:26" ht="15.75" customHeight="1" x14ac:dyDescent="0.25">
      <c r="A459" s="62"/>
      <c r="B459" s="62"/>
      <c r="C459" s="76"/>
      <c r="D459" s="77"/>
      <c r="E459" s="62"/>
      <c r="F459" s="83" t="str">
        <f t="shared" si="18"/>
        <v/>
      </c>
      <c r="G459" s="84" t="str">
        <f t="shared" si="19"/>
        <v/>
      </c>
      <c r="H459" s="84" t="str">
        <f t="shared" si="20"/>
        <v/>
      </c>
      <c r="I459" s="84" t="str">
        <f t="shared" si="21"/>
        <v/>
      </c>
      <c r="J459" s="84" t="str">
        <f t="shared" si="22"/>
        <v/>
      </c>
      <c r="K459" s="80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spans="1:26" ht="15.75" customHeight="1" x14ac:dyDescent="0.25">
      <c r="A460" s="62"/>
      <c r="B460" s="62"/>
      <c r="C460" s="76"/>
      <c r="D460" s="77"/>
      <c r="E460" s="62"/>
      <c r="F460" s="83" t="str">
        <f t="shared" si="18"/>
        <v/>
      </c>
      <c r="G460" s="84" t="str">
        <f t="shared" si="19"/>
        <v/>
      </c>
      <c r="H460" s="84" t="str">
        <f t="shared" si="20"/>
        <v/>
      </c>
      <c r="I460" s="84" t="str">
        <f t="shared" si="21"/>
        <v/>
      </c>
      <c r="J460" s="84" t="str">
        <f t="shared" si="22"/>
        <v/>
      </c>
      <c r="K460" s="80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spans="1:26" ht="15.75" customHeight="1" x14ac:dyDescent="0.25">
      <c r="A461" s="62"/>
      <c r="B461" s="62"/>
      <c r="C461" s="76"/>
      <c r="D461" s="77"/>
      <c r="E461" s="62"/>
      <c r="F461" s="83" t="str">
        <f t="shared" si="18"/>
        <v/>
      </c>
      <c r="G461" s="84" t="str">
        <f t="shared" si="19"/>
        <v/>
      </c>
      <c r="H461" s="84" t="str">
        <f t="shared" si="20"/>
        <v/>
      </c>
      <c r="I461" s="84" t="str">
        <f t="shared" si="21"/>
        <v/>
      </c>
      <c r="J461" s="84" t="str">
        <f t="shared" si="22"/>
        <v/>
      </c>
      <c r="K461" s="80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spans="1:26" ht="15.75" customHeight="1" x14ac:dyDescent="0.25">
      <c r="A462" s="62"/>
      <c r="B462" s="62"/>
      <c r="C462" s="76"/>
      <c r="D462" s="77"/>
      <c r="E462" s="62"/>
      <c r="F462" s="83" t="str">
        <f t="shared" si="18"/>
        <v/>
      </c>
      <c r="G462" s="84" t="str">
        <f t="shared" si="19"/>
        <v/>
      </c>
      <c r="H462" s="84" t="str">
        <f t="shared" si="20"/>
        <v/>
      </c>
      <c r="I462" s="84" t="str">
        <f t="shared" si="21"/>
        <v/>
      </c>
      <c r="J462" s="84" t="str">
        <f t="shared" si="22"/>
        <v/>
      </c>
      <c r="K462" s="80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spans="1:26" ht="15.75" customHeight="1" x14ac:dyDescent="0.25">
      <c r="A463" s="62"/>
      <c r="B463" s="62"/>
      <c r="C463" s="76"/>
      <c r="D463" s="77"/>
      <c r="E463" s="62"/>
      <c r="F463" s="83" t="str">
        <f t="shared" si="18"/>
        <v/>
      </c>
      <c r="G463" s="84" t="str">
        <f t="shared" si="19"/>
        <v/>
      </c>
      <c r="H463" s="84" t="str">
        <f t="shared" si="20"/>
        <v/>
      </c>
      <c r="I463" s="84" t="str">
        <f t="shared" si="21"/>
        <v/>
      </c>
      <c r="J463" s="84" t="str">
        <f t="shared" si="22"/>
        <v/>
      </c>
      <c r="K463" s="80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spans="1:26" ht="15.75" customHeight="1" x14ac:dyDescent="0.25">
      <c r="A464" s="62"/>
      <c r="B464" s="62"/>
      <c r="C464" s="76"/>
      <c r="D464" s="77"/>
      <c r="E464" s="62"/>
      <c r="F464" s="83" t="str">
        <f t="shared" si="18"/>
        <v/>
      </c>
      <c r="G464" s="84" t="str">
        <f t="shared" si="19"/>
        <v/>
      </c>
      <c r="H464" s="84" t="str">
        <f t="shared" si="20"/>
        <v/>
      </c>
      <c r="I464" s="84" t="str">
        <f t="shared" si="21"/>
        <v/>
      </c>
      <c r="J464" s="84" t="str">
        <f t="shared" si="22"/>
        <v/>
      </c>
      <c r="K464" s="80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spans="1:26" ht="15.75" customHeight="1" x14ac:dyDescent="0.25">
      <c r="A465" s="62"/>
      <c r="B465" s="62"/>
      <c r="C465" s="76"/>
      <c r="D465" s="77"/>
      <c r="E465" s="62"/>
      <c r="F465" s="83" t="str">
        <f t="shared" si="18"/>
        <v/>
      </c>
      <c r="G465" s="84" t="str">
        <f t="shared" si="19"/>
        <v/>
      </c>
      <c r="H465" s="84" t="str">
        <f t="shared" si="20"/>
        <v/>
      </c>
      <c r="I465" s="84" t="str">
        <f t="shared" si="21"/>
        <v/>
      </c>
      <c r="J465" s="84" t="str">
        <f t="shared" si="22"/>
        <v/>
      </c>
      <c r="K465" s="80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spans="1:26" ht="15.75" customHeight="1" x14ac:dyDescent="0.25">
      <c r="A466" s="62"/>
      <c r="B466" s="62"/>
      <c r="C466" s="76"/>
      <c r="D466" s="77"/>
      <c r="E466" s="62"/>
      <c r="F466" s="83" t="str">
        <f t="shared" si="18"/>
        <v/>
      </c>
      <c r="G466" s="84" t="str">
        <f t="shared" si="19"/>
        <v/>
      </c>
      <c r="H466" s="84" t="str">
        <f t="shared" si="20"/>
        <v/>
      </c>
      <c r="I466" s="84" t="str">
        <f t="shared" si="21"/>
        <v/>
      </c>
      <c r="J466" s="84" t="str">
        <f t="shared" si="22"/>
        <v/>
      </c>
      <c r="K466" s="80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spans="1:26" ht="15.75" customHeight="1" x14ac:dyDescent="0.25">
      <c r="A467" s="62"/>
      <c r="B467" s="62"/>
      <c r="C467" s="76"/>
      <c r="D467" s="77"/>
      <c r="E467" s="62"/>
      <c r="F467" s="83" t="str">
        <f t="shared" si="18"/>
        <v/>
      </c>
      <c r="G467" s="84" t="str">
        <f t="shared" si="19"/>
        <v/>
      </c>
      <c r="H467" s="84" t="str">
        <f t="shared" si="20"/>
        <v/>
      </c>
      <c r="I467" s="84" t="str">
        <f t="shared" si="21"/>
        <v/>
      </c>
      <c r="J467" s="84" t="str">
        <f t="shared" si="22"/>
        <v/>
      </c>
      <c r="K467" s="80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spans="1:26" ht="15.75" customHeight="1" x14ac:dyDescent="0.25">
      <c r="A468" s="62"/>
      <c r="B468" s="62"/>
      <c r="C468" s="76"/>
      <c r="D468" s="77"/>
      <c r="E468" s="62"/>
      <c r="F468" s="83" t="str">
        <f t="shared" si="18"/>
        <v/>
      </c>
      <c r="G468" s="84" t="str">
        <f t="shared" si="19"/>
        <v/>
      </c>
      <c r="H468" s="84" t="str">
        <f t="shared" si="20"/>
        <v/>
      </c>
      <c r="I468" s="84" t="str">
        <f t="shared" si="21"/>
        <v/>
      </c>
      <c r="J468" s="84" t="str">
        <f t="shared" si="22"/>
        <v/>
      </c>
      <c r="K468" s="80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spans="1:26" ht="15.75" customHeight="1" x14ac:dyDescent="0.25">
      <c r="A469" s="62"/>
      <c r="B469" s="62"/>
      <c r="C469" s="76"/>
      <c r="D469" s="77"/>
      <c r="E469" s="62"/>
      <c r="F469" s="83" t="str">
        <f t="shared" si="18"/>
        <v/>
      </c>
      <c r="G469" s="84" t="str">
        <f t="shared" si="19"/>
        <v/>
      </c>
      <c r="H469" s="84" t="str">
        <f t="shared" si="20"/>
        <v/>
      </c>
      <c r="I469" s="84" t="str">
        <f t="shared" si="21"/>
        <v/>
      </c>
      <c r="J469" s="84" t="str">
        <f t="shared" si="22"/>
        <v/>
      </c>
      <c r="K469" s="80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spans="1:26" ht="15.75" customHeight="1" x14ac:dyDescent="0.25">
      <c r="A470" s="62"/>
      <c r="B470" s="62"/>
      <c r="C470" s="76"/>
      <c r="D470" s="77"/>
      <c r="E470" s="62"/>
      <c r="F470" s="83" t="str">
        <f t="shared" si="18"/>
        <v/>
      </c>
      <c r="G470" s="84" t="str">
        <f t="shared" si="19"/>
        <v/>
      </c>
      <c r="H470" s="84" t="str">
        <f t="shared" si="20"/>
        <v/>
      </c>
      <c r="I470" s="84" t="str">
        <f t="shared" si="21"/>
        <v/>
      </c>
      <c r="J470" s="84" t="str">
        <f t="shared" si="22"/>
        <v/>
      </c>
      <c r="K470" s="80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spans="1:26" ht="15.75" customHeight="1" x14ac:dyDescent="0.25">
      <c r="A471" s="62"/>
      <c r="B471" s="62"/>
      <c r="C471" s="76"/>
      <c r="D471" s="77"/>
      <c r="E471" s="62"/>
      <c r="F471" s="83" t="str">
        <f t="shared" si="18"/>
        <v/>
      </c>
      <c r="G471" s="84" t="str">
        <f t="shared" si="19"/>
        <v/>
      </c>
      <c r="H471" s="84" t="str">
        <f t="shared" si="20"/>
        <v/>
      </c>
      <c r="I471" s="84" t="str">
        <f t="shared" si="21"/>
        <v/>
      </c>
      <c r="J471" s="84" t="str">
        <f t="shared" si="22"/>
        <v/>
      </c>
      <c r="K471" s="80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spans="1:26" ht="15.75" customHeight="1" x14ac:dyDescent="0.25">
      <c r="A472" s="62"/>
      <c r="B472" s="62"/>
      <c r="C472" s="76"/>
      <c r="D472" s="77"/>
      <c r="E472" s="62"/>
      <c r="F472" s="83" t="str">
        <f t="shared" si="18"/>
        <v/>
      </c>
      <c r="G472" s="84" t="str">
        <f t="shared" si="19"/>
        <v/>
      </c>
      <c r="H472" s="84" t="str">
        <f t="shared" si="20"/>
        <v/>
      </c>
      <c r="I472" s="84" t="str">
        <f t="shared" si="21"/>
        <v/>
      </c>
      <c r="J472" s="84" t="str">
        <f t="shared" si="22"/>
        <v/>
      </c>
      <c r="K472" s="80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spans="1:26" ht="15.75" customHeight="1" x14ac:dyDescent="0.25">
      <c r="A473" s="62"/>
      <c r="B473" s="62"/>
      <c r="C473" s="76"/>
      <c r="D473" s="77"/>
      <c r="E473" s="62"/>
      <c r="F473" s="83" t="str">
        <f t="shared" si="18"/>
        <v/>
      </c>
      <c r="G473" s="84" t="str">
        <f t="shared" si="19"/>
        <v/>
      </c>
      <c r="H473" s="84" t="str">
        <f t="shared" si="20"/>
        <v/>
      </c>
      <c r="I473" s="84" t="str">
        <f t="shared" si="21"/>
        <v/>
      </c>
      <c r="J473" s="84" t="str">
        <f t="shared" si="22"/>
        <v/>
      </c>
      <c r="K473" s="80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spans="1:26" ht="15.75" customHeight="1" x14ac:dyDescent="0.25">
      <c r="A474" s="62"/>
      <c r="B474" s="62"/>
      <c r="C474" s="76"/>
      <c r="D474" s="77"/>
      <c r="E474" s="62"/>
      <c r="F474" s="83" t="str">
        <f t="shared" si="18"/>
        <v/>
      </c>
      <c r="G474" s="84" t="str">
        <f t="shared" si="19"/>
        <v/>
      </c>
      <c r="H474" s="84" t="str">
        <f t="shared" si="20"/>
        <v/>
      </c>
      <c r="I474" s="84" t="str">
        <f t="shared" si="21"/>
        <v/>
      </c>
      <c r="J474" s="84" t="str">
        <f t="shared" si="22"/>
        <v/>
      </c>
      <c r="K474" s="80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spans="1:26" ht="15.75" customHeight="1" x14ac:dyDescent="0.25">
      <c r="A475" s="62"/>
      <c r="B475" s="62"/>
      <c r="C475" s="76"/>
      <c r="D475" s="77"/>
      <c r="E475" s="62"/>
      <c r="F475" s="83" t="str">
        <f t="shared" si="18"/>
        <v/>
      </c>
      <c r="G475" s="84" t="str">
        <f t="shared" si="19"/>
        <v/>
      </c>
      <c r="H475" s="84" t="str">
        <f t="shared" si="20"/>
        <v/>
      </c>
      <c r="I475" s="84" t="str">
        <f t="shared" si="21"/>
        <v/>
      </c>
      <c r="J475" s="84" t="str">
        <f t="shared" si="22"/>
        <v/>
      </c>
      <c r="K475" s="80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spans="1:26" ht="15.75" customHeight="1" x14ac:dyDescent="0.25">
      <c r="A476" s="62"/>
      <c r="B476" s="62"/>
      <c r="C476" s="76"/>
      <c r="D476" s="77"/>
      <c r="E476" s="62"/>
      <c r="F476" s="83" t="str">
        <f t="shared" si="18"/>
        <v/>
      </c>
      <c r="G476" s="84" t="str">
        <f t="shared" si="19"/>
        <v/>
      </c>
      <c r="H476" s="84" t="str">
        <f t="shared" si="20"/>
        <v/>
      </c>
      <c r="I476" s="84" t="str">
        <f t="shared" si="21"/>
        <v/>
      </c>
      <c r="J476" s="84" t="str">
        <f t="shared" si="22"/>
        <v/>
      </c>
      <c r="K476" s="80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spans="1:26" ht="15.75" customHeight="1" x14ac:dyDescent="0.25">
      <c r="A477" s="62"/>
      <c r="B477" s="62"/>
      <c r="C477" s="76"/>
      <c r="D477" s="77"/>
      <c r="E477" s="62"/>
      <c r="F477" s="83" t="str">
        <f t="shared" si="18"/>
        <v/>
      </c>
      <c r="G477" s="84" t="str">
        <f t="shared" si="19"/>
        <v/>
      </c>
      <c r="H477" s="84" t="str">
        <f t="shared" si="20"/>
        <v/>
      </c>
      <c r="I477" s="84" t="str">
        <f t="shared" si="21"/>
        <v/>
      </c>
      <c r="J477" s="84" t="str">
        <f t="shared" si="22"/>
        <v/>
      </c>
      <c r="K477" s="80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spans="1:26" ht="15.75" customHeight="1" x14ac:dyDescent="0.25">
      <c r="A478" s="62"/>
      <c r="B478" s="62"/>
      <c r="C478" s="76"/>
      <c r="D478" s="77"/>
      <c r="E478" s="62"/>
      <c r="F478" s="83" t="str">
        <f t="shared" si="18"/>
        <v/>
      </c>
      <c r="G478" s="84" t="str">
        <f t="shared" si="19"/>
        <v/>
      </c>
      <c r="H478" s="84" t="str">
        <f t="shared" si="20"/>
        <v/>
      </c>
      <c r="I478" s="84" t="str">
        <f t="shared" si="21"/>
        <v/>
      </c>
      <c r="J478" s="84" t="str">
        <f t="shared" si="22"/>
        <v/>
      </c>
      <c r="K478" s="80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spans="1:26" ht="15.75" customHeight="1" x14ac:dyDescent="0.25">
      <c r="A479" s="62"/>
      <c r="B479" s="62"/>
      <c r="C479" s="76"/>
      <c r="D479" s="77"/>
      <c r="E479" s="62"/>
      <c r="F479" s="83" t="str">
        <f t="shared" si="18"/>
        <v/>
      </c>
      <c r="G479" s="84" t="str">
        <f t="shared" si="19"/>
        <v/>
      </c>
      <c r="H479" s="84" t="str">
        <f t="shared" si="20"/>
        <v/>
      </c>
      <c r="I479" s="84" t="str">
        <f t="shared" si="21"/>
        <v/>
      </c>
      <c r="J479" s="84" t="str">
        <f t="shared" si="22"/>
        <v/>
      </c>
      <c r="K479" s="80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spans="1:26" ht="15.75" customHeight="1" x14ac:dyDescent="0.25">
      <c r="A480" s="62"/>
      <c r="B480" s="62"/>
      <c r="C480" s="76"/>
      <c r="D480" s="77"/>
      <c r="E480" s="62"/>
      <c r="F480" s="83" t="str">
        <f t="shared" si="18"/>
        <v/>
      </c>
      <c r="G480" s="84" t="str">
        <f t="shared" si="19"/>
        <v/>
      </c>
      <c r="H480" s="84" t="str">
        <f t="shared" si="20"/>
        <v/>
      </c>
      <c r="I480" s="84" t="str">
        <f t="shared" si="21"/>
        <v/>
      </c>
      <c r="J480" s="84" t="str">
        <f t="shared" si="22"/>
        <v/>
      </c>
      <c r="K480" s="80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spans="1:26" ht="15.75" customHeight="1" x14ac:dyDescent="0.25">
      <c r="A481" s="62"/>
      <c r="B481" s="62"/>
      <c r="C481" s="76"/>
      <c r="D481" s="77"/>
      <c r="E481" s="62"/>
      <c r="F481" s="83" t="str">
        <f t="shared" si="18"/>
        <v/>
      </c>
      <c r="G481" s="84" t="str">
        <f t="shared" si="19"/>
        <v/>
      </c>
      <c r="H481" s="84" t="str">
        <f t="shared" si="20"/>
        <v/>
      </c>
      <c r="I481" s="84" t="str">
        <f t="shared" si="21"/>
        <v/>
      </c>
      <c r="J481" s="84" t="str">
        <f t="shared" si="22"/>
        <v/>
      </c>
      <c r="K481" s="80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spans="1:26" ht="15.75" customHeight="1" x14ac:dyDescent="0.25">
      <c r="A482" s="62"/>
      <c r="B482" s="62"/>
      <c r="C482" s="76"/>
      <c r="D482" s="77"/>
      <c r="E482" s="62"/>
      <c r="F482" s="83" t="str">
        <f t="shared" si="18"/>
        <v/>
      </c>
      <c r="G482" s="84" t="str">
        <f t="shared" si="19"/>
        <v/>
      </c>
      <c r="H482" s="84" t="str">
        <f t="shared" si="20"/>
        <v/>
      </c>
      <c r="I482" s="84" t="str">
        <f t="shared" si="21"/>
        <v/>
      </c>
      <c r="J482" s="84" t="str">
        <f t="shared" si="22"/>
        <v/>
      </c>
      <c r="K482" s="80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spans="1:26" ht="15.75" customHeight="1" x14ac:dyDescent="0.25">
      <c r="A483" s="62"/>
      <c r="B483" s="62"/>
      <c r="C483" s="76"/>
      <c r="D483" s="77"/>
      <c r="E483" s="62"/>
      <c r="F483" s="83" t="str">
        <f t="shared" si="18"/>
        <v/>
      </c>
      <c r="G483" s="84" t="str">
        <f t="shared" si="19"/>
        <v/>
      </c>
      <c r="H483" s="84" t="str">
        <f t="shared" si="20"/>
        <v/>
      </c>
      <c r="I483" s="84" t="str">
        <f t="shared" si="21"/>
        <v/>
      </c>
      <c r="J483" s="84" t="str">
        <f t="shared" si="22"/>
        <v/>
      </c>
      <c r="K483" s="80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spans="1:26" ht="15.75" customHeight="1" x14ac:dyDescent="0.25">
      <c r="A484" s="62"/>
      <c r="B484" s="62"/>
      <c r="C484" s="76"/>
      <c r="D484" s="77"/>
      <c r="E484" s="62"/>
      <c r="F484" s="83" t="str">
        <f t="shared" si="18"/>
        <v/>
      </c>
      <c r="G484" s="84" t="str">
        <f t="shared" si="19"/>
        <v/>
      </c>
      <c r="H484" s="84" t="str">
        <f t="shared" si="20"/>
        <v/>
      </c>
      <c r="I484" s="84" t="str">
        <f t="shared" si="21"/>
        <v/>
      </c>
      <c r="J484" s="84" t="str">
        <f t="shared" si="22"/>
        <v/>
      </c>
      <c r="K484" s="80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spans="1:26" ht="15.75" customHeight="1" x14ac:dyDescent="0.25">
      <c r="A485" s="62"/>
      <c r="B485" s="62"/>
      <c r="C485" s="76"/>
      <c r="D485" s="77"/>
      <c r="E485" s="62"/>
      <c r="F485" s="83" t="str">
        <f t="shared" si="18"/>
        <v/>
      </c>
      <c r="G485" s="84" t="str">
        <f t="shared" si="19"/>
        <v/>
      </c>
      <c r="H485" s="84" t="str">
        <f t="shared" si="20"/>
        <v/>
      </c>
      <c r="I485" s="84" t="str">
        <f t="shared" si="21"/>
        <v/>
      </c>
      <c r="J485" s="84" t="str">
        <f t="shared" si="22"/>
        <v/>
      </c>
      <c r="K485" s="80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spans="1:26" ht="15.75" customHeight="1" x14ac:dyDescent="0.25">
      <c r="A486" s="62"/>
      <c r="B486" s="62"/>
      <c r="C486" s="76"/>
      <c r="D486" s="77"/>
      <c r="E486" s="62"/>
      <c r="F486" s="83" t="str">
        <f t="shared" si="18"/>
        <v/>
      </c>
      <c r="G486" s="84" t="str">
        <f t="shared" si="19"/>
        <v/>
      </c>
      <c r="H486" s="84" t="str">
        <f t="shared" si="20"/>
        <v/>
      </c>
      <c r="I486" s="84" t="str">
        <f t="shared" si="21"/>
        <v/>
      </c>
      <c r="J486" s="84" t="str">
        <f t="shared" si="22"/>
        <v/>
      </c>
      <c r="K486" s="80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spans="1:26" ht="15.75" customHeight="1" x14ac:dyDescent="0.25">
      <c r="A487" s="62"/>
      <c r="B487" s="62"/>
      <c r="C487" s="76"/>
      <c r="D487" s="77"/>
      <c r="E487" s="62"/>
      <c r="F487" s="83" t="str">
        <f t="shared" si="18"/>
        <v/>
      </c>
      <c r="G487" s="84" t="str">
        <f t="shared" si="19"/>
        <v/>
      </c>
      <c r="H487" s="84" t="str">
        <f t="shared" si="20"/>
        <v/>
      </c>
      <c r="I487" s="84" t="str">
        <f t="shared" si="21"/>
        <v/>
      </c>
      <c r="J487" s="84" t="str">
        <f t="shared" si="22"/>
        <v/>
      </c>
      <c r="K487" s="80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spans="1:26" ht="15.75" customHeight="1" x14ac:dyDescent="0.25">
      <c r="A488" s="62"/>
      <c r="B488" s="62"/>
      <c r="C488" s="76"/>
      <c r="D488" s="77"/>
      <c r="E488" s="62"/>
      <c r="F488" s="83" t="str">
        <f t="shared" si="18"/>
        <v/>
      </c>
      <c r="G488" s="84" t="str">
        <f t="shared" si="19"/>
        <v/>
      </c>
      <c r="H488" s="84" t="str">
        <f t="shared" si="20"/>
        <v/>
      </c>
      <c r="I488" s="84" t="str">
        <f t="shared" si="21"/>
        <v/>
      </c>
      <c r="J488" s="84" t="str">
        <f t="shared" si="22"/>
        <v/>
      </c>
      <c r="K488" s="80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spans="1:26" ht="15.75" customHeight="1" x14ac:dyDescent="0.25">
      <c r="A489" s="62"/>
      <c r="B489" s="62"/>
      <c r="C489" s="76"/>
      <c r="D489" s="77"/>
      <c r="E489" s="62"/>
      <c r="F489" s="83" t="str">
        <f t="shared" si="18"/>
        <v/>
      </c>
      <c r="G489" s="84" t="str">
        <f t="shared" si="19"/>
        <v/>
      </c>
      <c r="H489" s="84" t="str">
        <f t="shared" si="20"/>
        <v/>
      </c>
      <c r="I489" s="84" t="str">
        <f t="shared" si="21"/>
        <v/>
      </c>
      <c r="J489" s="84" t="str">
        <f t="shared" si="22"/>
        <v/>
      </c>
      <c r="K489" s="80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spans="1:26" ht="15.75" customHeight="1" x14ac:dyDescent="0.25">
      <c r="A490" s="62"/>
      <c r="B490" s="62"/>
      <c r="C490" s="76"/>
      <c r="D490" s="77"/>
      <c r="E490" s="62"/>
      <c r="F490" s="83" t="str">
        <f t="shared" si="18"/>
        <v/>
      </c>
      <c r="G490" s="84" t="str">
        <f t="shared" si="19"/>
        <v/>
      </c>
      <c r="H490" s="84" t="str">
        <f t="shared" si="20"/>
        <v/>
      </c>
      <c r="I490" s="84" t="str">
        <f t="shared" si="21"/>
        <v/>
      </c>
      <c r="J490" s="84" t="str">
        <f t="shared" si="22"/>
        <v/>
      </c>
      <c r="K490" s="80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spans="1:26" ht="15.75" customHeight="1" x14ac:dyDescent="0.25">
      <c r="A491" s="62"/>
      <c r="B491" s="62"/>
      <c r="C491" s="76"/>
      <c r="D491" s="77"/>
      <c r="E491" s="62"/>
      <c r="F491" s="83" t="str">
        <f t="shared" si="18"/>
        <v/>
      </c>
      <c r="G491" s="84" t="str">
        <f t="shared" si="19"/>
        <v/>
      </c>
      <c r="H491" s="84" t="str">
        <f t="shared" si="20"/>
        <v/>
      </c>
      <c r="I491" s="84" t="str">
        <f t="shared" si="21"/>
        <v/>
      </c>
      <c r="J491" s="84" t="str">
        <f t="shared" si="22"/>
        <v/>
      </c>
      <c r="K491" s="80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spans="1:26" ht="15.75" customHeight="1" x14ac:dyDescent="0.25">
      <c r="A492" s="62"/>
      <c r="B492" s="62"/>
      <c r="C492" s="76"/>
      <c r="D492" s="77"/>
      <c r="E492" s="62"/>
      <c r="F492" s="83" t="str">
        <f t="shared" si="18"/>
        <v/>
      </c>
      <c r="G492" s="84" t="str">
        <f t="shared" si="19"/>
        <v/>
      </c>
      <c r="H492" s="84" t="str">
        <f t="shared" si="20"/>
        <v/>
      </c>
      <c r="I492" s="84" t="str">
        <f t="shared" si="21"/>
        <v/>
      </c>
      <c r="J492" s="84" t="str">
        <f t="shared" si="22"/>
        <v/>
      </c>
      <c r="K492" s="80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spans="1:26" ht="15.75" customHeight="1" x14ac:dyDescent="0.25">
      <c r="A493" s="62"/>
      <c r="B493" s="62"/>
      <c r="C493" s="76"/>
      <c r="D493" s="77"/>
      <c r="E493" s="62"/>
      <c r="F493" s="83" t="str">
        <f t="shared" si="18"/>
        <v/>
      </c>
      <c r="G493" s="84" t="str">
        <f t="shared" si="19"/>
        <v/>
      </c>
      <c r="H493" s="84" t="str">
        <f t="shared" si="20"/>
        <v/>
      </c>
      <c r="I493" s="84" t="str">
        <f t="shared" si="21"/>
        <v/>
      </c>
      <c r="J493" s="84" t="str">
        <f t="shared" si="22"/>
        <v/>
      </c>
      <c r="K493" s="80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spans="1:26" ht="15.75" customHeight="1" x14ac:dyDescent="0.25">
      <c r="A494" s="62"/>
      <c r="B494" s="62"/>
      <c r="C494" s="76"/>
      <c r="D494" s="77"/>
      <c r="E494" s="62"/>
      <c r="F494" s="83" t="str">
        <f t="shared" si="18"/>
        <v/>
      </c>
      <c r="G494" s="84" t="str">
        <f t="shared" si="19"/>
        <v/>
      </c>
      <c r="H494" s="84" t="str">
        <f t="shared" si="20"/>
        <v/>
      </c>
      <c r="I494" s="84" t="str">
        <f t="shared" si="21"/>
        <v/>
      </c>
      <c r="J494" s="84" t="str">
        <f t="shared" si="22"/>
        <v/>
      </c>
      <c r="K494" s="80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spans="1:26" ht="15.75" customHeight="1" x14ac:dyDescent="0.25">
      <c r="A495" s="62"/>
      <c r="B495" s="62"/>
      <c r="C495" s="76"/>
      <c r="D495" s="77"/>
      <c r="E495" s="62"/>
      <c r="F495" s="83" t="str">
        <f t="shared" si="18"/>
        <v/>
      </c>
      <c r="G495" s="84" t="str">
        <f t="shared" si="19"/>
        <v/>
      </c>
      <c r="H495" s="84" t="str">
        <f t="shared" si="20"/>
        <v/>
      </c>
      <c r="I495" s="84" t="str">
        <f t="shared" si="21"/>
        <v/>
      </c>
      <c r="J495" s="84" t="str">
        <f t="shared" si="22"/>
        <v/>
      </c>
      <c r="K495" s="80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spans="1:26" ht="15.75" customHeight="1" x14ac:dyDescent="0.25">
      <c r="A496" s="62"/>
      <c r="B496" s="62"/>
      <c r="C496" s="76"/>
      <c r="D496" s="77"/>
      <c r="E496" s="62"/>
      <c r="F496" s="83" t="str">
        <f t="shared" si="18"/>
        <v/>
      </c>
      <c r="G496" s="84" t="str">
        <f t="shared" si="19"/>
        <v/>
      </c>
      <c r="H496" s="84" t="str">
        <f t="shared" si="20"/>
        <v/>
      </c>
      <c r="I496" s="84" t="str">
        <f t="shared" si="21"/>
        <v/>
      </c>
      <c r="J496" s="84" t="str">
        <f t="shared" si="22"/>
        <v/>
      </c>
      <c r="K496" s="80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spans="1:26" ht="15.75" customHeight="1" x14ac:dyDescent="0.25">
      <c r="A497" s="62"/>
      <c r="B497" s="62"/>
      <c r="C497" s="76"/>
      <c r="D497" s="77"/>
      <c r="E497" s="62"/>
      <c r="F497" s="83" t="str">
        <f t="shared" si="18"/>
        <v/>
      </c>
      <c r="G497" s="84" t="str">
        <f t="shared" si="19"/>
        <v/>
      </c>
      <c r="H497" s="84" t="str">
        <f t="shared" si="20"/>
        <v/>
      </c>
      <c r="I497" s="84" t="str">
        <f t="shared" si="21"/>
        <v/>
      </c>
      <c r="J497" s="84" t="str">
        <f t="shared" si="22"/>
        <v/>
      </c>
      <c r="K497" s="80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spans="1:26" ht="15.75" customHeight="1" x14ac:dyDescent="0.25">
      <c r="A498" s="62"/>
      <c r="B498" s="62"/>
      <c r="C498" s="76"/>
      <c r="D498" s="77"/>
      <c r="E498" s="62"/>
      <c r="F498" s="83" t="str">
        <f t="shared" si="18"/>
        <v/>
      </c>
      <c r="G498" s="84" t="str">
        <f t="shared" si="19"/>
        <v/>
      </c>
      <c r="H498" s="84" t="str">
        <f t="shared" si="20"/>
        <v/>
      </c>
      <c r="I498" s="84" t="str">
        <f t="shared" si="21"/>
        <v/>
      </c>
      <c r="J498" s="84" t="str">
        <f t="shared" si="22"/>
        <v/>
      </c>
      <c r="K498" s="80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spans="1:26" ht="15.75" customHeight="1" x14ac:dyDescent="0.25">
      <c r="A499" s="62"/>
      <c r="B499" s="62"/>
      <c r="C499" s="76"/>
      <c r="D499" s="77"/>
      <c r="E499" s="62"/>
      <c r="F499" s="83" t="str">
        <f t="shared" si="18"/>
        <v/>
      </c>
      <c r="G499" s="84" t="str">
        <f t="shared" si="19"/>
        <v/>
      </c>
      <c r="H499" s="84" t="str">
        <f t="shared" si="20"/>
        <v/>
      </c>
      <c r="I499" s="84" t="str">
        <f t="shared" si="21"/>
        <v/>
      </c>
      <c r="J499" s="84" t="str">
        <f t="shared" si="22"/>
        <v/>
      </c>
      <c r="K499" s="80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spans="1:26" ht="15.75" customHeight="1" x14ac:dyDescent="0.25">
      <c r="A500" s="62"/>
      <c r="B500" s="62"/>
      <c r="C500" s="76"/>
      <c r="D500" s="77"/>
      <c r="E500" s="62"/>
      <c r="F500" s="83" t="str">
        <f t="shared" si="18"/>
        <v/>
      </c>
      <c r="G500" s="84" t="str">
        <f t="shared" si="19"/>
        <v/>
      </c>
      <c r="H500" s="84" t="str">
        <f t="shared" si="20"/>
        <v/>
      </c>
      <c r="I500" s="84" t="str">
        <f t="shared" si="21"/>
        <v/>
      </c>
      <c r="J500" s="84" t="str">
        <f t="shared" si="22"/>
        <v/>
      </c>
      <c r="K500" s="80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spans="1:26" ht="15.75" customHeight="1" x14ac:dyDescent="0.25">
      <c r="A501" s="62"/>
      <c r="B501" s="62"/>
      <c r="C501" s="76"/>
      <c r="D501" s="77"/>
      <c r="E501" s="62"/>
      <c r="F501" s="83" t="str">
        <f t="shared" si="18"/>
        <v/>
      </c>
      <c r="G501" s="84" t="str">
        <f t="shared" si="19"/>
        <v/>
      </c>
      <c r="H501" s="84" t="str">
        <f t="shared" si="20"/>
        <v/>
      </c>
      <c r="I501" s="84" t="str">
        <f t="shared" si="21"/>
        <v/>
      </c>
      <c r="J501" s="84" t="str">
        <f t="shared" si="22"/>
        <v/>
      </c>
      <c r="K501" s="80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spans="1:26" ht="15.75" customHeight="1" x14ac:dyDescent="0.25">
      <c r="A502" s="62"/>
      <c r="B502" s="62"/>
      <c r="C502" s="76"/>
      <c r="D502" s="77"/>
      <c r="E502" s="62"/>
      <c r="F502" s="83" t="str">
        <f t="shared" si="18"/>
        <v/>
      </c>
      <c r="G502" s="84" t="str">
        <f t="shared" si="19"/>
        <v/>
      </c>
      <c r="H502" s="84" t="str">
        <f t="shared" si="20"/>
        <v/>
      </c>
      <c r="I502" s="84" t="str">
        <f t="shared" si="21"/>
        <v/>
      </c>
      <c r="J502" s="84" t="str">
        <f t="shared" si="22"/>
        <v/>
      </c>
      <c r="K502" s="80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spans="1:26" ht="15.75" customHeight="1" x14ac:dyDescent="0.25">
      <c r="A503" s="62"/>
      <c r="B503" s="62"/>
      <c r="C503" s="76"/>
      <c r="D503" s="77"/>
      <c r="E503" s="62"/>
      <c r="F503" s="83" t="str">
        <f t="shared" si="18"/>
        <v/>
      </c>
      <c r="G503" s="84" t="str">
        <f t="shared" si="19"/>
        <v/>
      </c>
      <c r="H503" s="84" t="str">
        <f t="shared" si="20"/>
        <v/>
      </c>
      <c r="I503" s="84" t="str">
        <f t="shared" si="21"/>
        <v/>
      </c>
      <c r="J503" s="84" t="str">
        <f t="shared" si="22"/>
        <v/>
      </c>
      <c r="K503" s="80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spans="1:26" ht="15.75" customHeight="1" x14ac:dyDescent="0.25">
      <c r="A504" s="62"/>
      <c r="B504" s="62"/>
      <c r="C504" s="76"/>
      <c r="D504" s="77"/>
      <c r="E504" s="62"/>
      <c r="F504" s="83" t="str">
        <f t="shared" si="18"/>
        <v/>
      </c>
      <c r="G504" s="84" t="str">
        <f t="shared" si="19"/>
        <v/>
      </c>
      <c r="H504" s="84" t="str">
        <f t="shared" si="20"/>
        <v/>
      </c>
      <c r="I504" s="84" t="str">
        <f t="shared" si="21"/>
        <v/>
      </c>
      <c r="J504" s="84" t="str">
        <f t="shared" si="22"/>
        <v/>
      </c>
      <c r="K504" s="80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spans="1:26" ht="15.75" customHeight="1" x14ac:dyDescent="0.25">
      <c r="A505" s="62"/>
      <c r="B505" s="62"/>
      <c r="C505" s="76"/>
      <c r="D505" s="77"/>
      <c r="E505" s="62"/>
      <c r="F505" s="83" t="str">
        <f t="shared" si="18"/>
        <v/>
      </c>
      <c r="G505" s="84" t="str">
        <f t="shared" si="19"/>
        <v/>
      </c>
      <c r="H505" s="84" t="str">
        <f t="shared" si="20"/>
        <v/>
      </c>
      <c r="I505" s="84" t="str">
        <f t="shared" si="21"/>
        <v/>
      </c>
      <c r="J505" s="84" t="str">
        <f t="shared" si="22"/>
        <v/>
      </c>
      <c r="K505" s="80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spans="1:26" ht="15.75" customHeight="1" x14ac:dyDescent="0.25">
      <c r="A506" s="62"/>
      <c r="B506" s="62"/>
      <c r="C506" s="76"/>
      <c r="D506" s="77"/>
      <c r="E506" s="62"/>
      <c r="F506" s="83" t="str">
        <f t="shared" si="18"/>
        <v/>
      </c>
      <c r="G506" s="84" t="str">
        <f t="shared" si="19"/>
        <v/>
      </c>
      <c r="H506" s="84" t="str">
        <f t="shared" si="20"/>
        <v/>
      </c>
      <c r="I506" s="84" t="str">
        <f t="shared" si="21"/>
        <v/>
      </c>
      <c r="J506" s="84" t="str">
        <f t="shared" si="22"/>
        <v/>
      </c>
      <c r="K506" s="80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spans="1:26" ht="15.75" customHeight="1" x14ac:dyDescent="0.25">
      <c r="A507" s="62"/>
      <c r="B507" s="62"/>
      <c r="C507" s="76"/>
      <c r="D507" s="77"/>
      <c r="E507" s="62"/>
      <c r="F507" s="83" t="str">
        <f t="shared" si="18"/>
        <v/>
      </c>
      <c r="G507" s="84" t="str">
        <f t="shared" si="19"/>
        <v/>
      </c>
      <c r="H507" s="84" t="str">
        <f t="shared" si="20"/>
        <v/>
      </c>
      <c r="I507" s="84" t="str">
        <f t="shared" si="21"/>
        <v/>
      </c>
      <c r="J507" s="84" t="str">
        <f t="shared" si="22"/>
        <v/>
      </c>
      <c r="K507" s="80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spans="1:26" ht="15.75" customHeight="1" x14ac:dyDescent="0.25">
      <c r="A508" s="62"/>
      <c r="B508" s="62"/>
      <c r="C508" s="76"/>
      <c r="D508" s="77"/>
      <c r="E508" s="62"/>
      <c r="F508" s="83" t="str">
        <f t="shared" si="18"/>
        <v/>
      </c>
      <c r="G508" s="84" t="str">
        <f t="shared" si="19"/>
        <v/>
      </c>
      <c r="H508" s="84" t="str">
        <f t="shared" si="20"/>
        <v/>
      </c>
      <c r="I508" s="84" t="str">
        <f t="shared" si="21"/>
        <v/>
      </c>
      <c r="J508" s="84" t="str">
        <f t="shared" si="22"/>
        <v/>
      </c>
      <c r="K508" s="80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spans="1:26" ht="15.75" customHeight="1" x14ac:dyDescent="0.25">
      <c r="A509" s="62"/>
      <c r="B509" s="62"/>
      <c r="C509" s="76"/>
      <c r="D509" s="77"/>
      <c r="E509" s="62"/>
      <c r="F509" s="83" t="str">
        <f t="shared" si="18"/>
        <v/>
      </c>
      <c r="G509" s="84" t="str">
        <f t="shared" si="19"/>
        <v/>
      </c>
      <c r="H509" s="84" t="str">
        <f t="shared" si="20"/>
        <v/>
      </c>
      <c r="I509" s="84" t="str">
        <f t="shared" si="21"/>
        <v/>
      </c>
      <c r="J509" s="84" t="str">
        <f t="shared" si="22"/>
        <v/>
      </c>
      <c r="K509" s="80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spans="1:26" ht="15.75" customHeight="1" x14ac:dyDescent="0.25">
      <c r="A510" s="62"/>
      <c r="B510" s="62"/>
      <c r="C510" s="76"/>
      <c r="D510" s="77"/>
      <c r="E510" s="62"/>
      <c r="F510" s="83" t="str">
        <f t="shared" si="18"/>
        <v/>
      </c>
      <c r="G510" s="84" t="str">
        <f t="shared" si="19"/>
        <v/>
      </c>
      <c r="H510" s="84" t="str">
        <f t="shared" si="20"/>
        <v/>
      </c>
      <c r="I510" s="84" t="str">
        <f t="shared" si="21"/>
        <v/>
      </c>
      <c r="J510" s="84" t="str">
        <f t="shared" si="22"/>
        <v/>
      </c>
      <c r="K510" s="80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spans="1:26" ht="15.75" customHeight="1" x14ac:dyDescent="0.25">
      <c r="A511" s="62"/>
      <c r="B511" s="62"/>
      <c r="C511" s="76"/>
      <c r="D511" s="77"/>
      <c r="E511" s="62"/>
      <c r="F511" s="83" t="str">
        <f t="shared" si="18"/>
        <v/>
      </c>
      <c r="G511" s="84" t="str">
        <f t="shared" si="19"/>
        <v/>
      </c>
      <c r="H511" s="84" t="str">
        <f t="shared" si="20"/>
        <v/>
      </c>
      <c r="I511" s="84" t="str">
        <f t="shared" si="21"/>
        <v/>
      </c>
      <c r="J511" s="84" t="str">
        <f t="shared" si="22"/>
        <v/>
      </c>
      <c r="K511" s="80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spans="1:26" ht="15.75" customHeight="1" x14ac:dyDescent="0.25">
      <c r="A512" s="62"/>
      <c r="B512" s="62"/>
      <c r="C512" s="76"/>
      <c r="D512" s="77"/>
      <c r="E512" s="62"/>
      <c r="F512" s="83" t="str">
        <f t="shared" si="18"/>
        <v/>
      </c>
      <c r="G512" s="84" t="str">
        <f t="shared" si="19"/>
        <v/>
      </c>
      <c r="H512" s="84" t="str">
        <f t="shared" si="20"/>
        <v/>
      </c>
      <c r="I512" s="84" t="str">
        <f t="shared" si="21"/>
        <v/>
      </c>
      <c r="J512" s="84" t="str">
        <f t="shared" si="22"/>
        <v/>
      </c>
      <c r="K512" s="80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spans="1:26" ht="15.75" customHeight="1" x14ac:dyDescent="0.25">
      <c r="A513" s="62"/>
      <c r="B513" s="62"/>
      <c r="C513" s="76"/>
      <c r="D513" s="77"/>
      <c r="E513" s="62"/>
      <c r="F513" s="83" t="str">
        <f t="shared" si="18"/>
        <v/>
      </c>
      <c r="G513" s="84" t="str">
        <f t="shared" si="19"/>
        <v/>
      </c>
      <c r="H513" s="84" t="str">
        <f t="shared" si="20"/>
        <v/>
      </c>
      <c r="I513" s="84" t="str">
        <f t="shared" si="21"/>
        <v/>
      </c>
      <c r="J513" s="84" t="str">
        <f t="shared" si="22"/>
        <v/>
      </c>
      <c r="K513" s="80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spans="1:26" ht="15.75" customHeight="1" x14ac:dyDescent="0.25">
      <c r="A514" s="62"/>
      <c r="B514" s="62"/>
      <c r="C514" s="76"/>
      <c r="D514" s="77"/>
      <c r="E514" s="62"/>
      <c r="F514" s="83" t="str">
        <f t="shared" ref="F514:F632" si="23">IF(F513&lt;&gt;"",IF(J513&gt;1,F513+1,""),"")</f>
        <v/>
      </c>
      <c r="G514" s="84" t="str">
        <f t="shared" ref="G514:G632" si="24">IF(F514&lt;&gt;"",IF(J513&gt;$C$15,$C$15,J513+H514),"")</f>
        <v/>
      </c>
      <c r="H514" s="84" t="str">
        <f t="shared" ref="H514:H632" si="25">IF(F514&lt;&gt;"",J513*$C$4%/$C$7+$C$8,"")</f>
        <v/>
      </c>
      <c r="I514" s="84" t="str">
        <f t="shared" ref="I514:I632" si="26">IF(F514&lt;&gt;"",IF(F514&gt;$C$6*$C$7,G514-H514,0),"")</f>
        <v/>
      </c>
      <c r="J514" s="84" t="str">
        <f t="shared" ref="J514:J632" si="27">IF(F514&lt;&gt;"",J513-I514-K514,"")</f>
        <v/>
      </c>
      <c r="K514" s="80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spans="1:26" ht="15.75" customHeight="1" x14ac:dyDescent="0.25">
      <c r="A515" s="62"/>
      <c r="B515" s="62"/>
      <c r="C515" s="76"/>
      <c r="D515" s="77"/>
      <c r="E515" s="62"/>
      <c r="F515" s="83" t="str">
        <f t="shared" si="23"/>
        <v/>
      </c>
      <c r="G515" s="84" t="str">
        <f t="shared" si="24"/>
        <v/>
      </c>
      <c r="H515" s="84" t="str">
        <f t="shared" si="25"/>
        <v/>
      </c>
      <c r="I515" s="84" t="str">
        <f t="shared" si="26"/>
        <v/>
      </c>
      <c r="J515" s="84" t="str">
        <f t="shared" si="27"/>
        <v/>
      </c>
      <c r="K515" s="80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spans="1:26" ht="15.75" customHeight="1" x14ac:dyDescent="0.25">
      <c r="A516" s="62"/>
      <c r="B516" s="62"/>
      <c r="C516" s="76"/>
      <c r="D516" s="77"/>
      <c r="E516" s="62"/>
      <c r="F516" s="83" t="str">
        <f t="shared" si="23"/>
        <v/>
      </c>
      <c r="G516" s="84" t="str">
        <f t="shared" si="24"/>
        <v/>
      </c>
      <c r="H516" s="84" t="str">
        <f t="shared" si="25"/>
        <v/>
      </c>
      <c r="I516" s="84" t="str">
        <f t="shared" si="26"/>
        <v/>
      </c>
      <c r="J516" s="84" t="str">
        <f t="shared" si="27"/>
        <v/>
      </c>
      <c r="K516" s="80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spans="1:26" ht="15.75" customHeight="1" x14ac:dyDescent="0.25">
      <c r="A517" s="62"/>
      <c r="B517" s="62"/>
      <c r="C517" s="76"/>
      <c r="D517" s="77"/>
      <c r="E517" s="62"/>
      <c r="F517" s="83" t="str">
        <f t="shared" si="23"/>
        <v/>
      </c>
      <c r="G517" s="84" t="str">
        <f t="shared" si="24"/>
        <v/>
      </c>
      <c r="H517" s="84" t="str">
        <f t="shared" si="25"/>
        <v/>
      </c>
      <c r="I517" s="84" t="str">
        <f t="shared" si="26"/>
        <v/>
      </c>
      <c r="J517" s="84" t="str">
        <f t="shared" si="27"/>
        <v/>
      </c>
      <c r="K517" s="80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spans="1:26" ht="15.75" customHeight="1" x14ac:dyDescent="0.25">
      <c r="A518" s="62"/>
      <c r="B518" s="62"/>
      <c r="C518" s="76"/>
      <c r="D518" s="77"/>
      <c r="E518" s="62"/>
      <c r="F518" s="83" t="str">
        <f t="shared" si="23"/>
        <v/>
      </c>
      <c r="G518" s="84" t="str">
        <f t="shared" si="24"/>
        <v/>
      </c>
      <c r="H518" s="84" t="str">
        <f t="shared" si="25"/>
        <v/>
      </c>
      <c r="I518" s="84" t="str">
        <f t="shared" si="26"/>
        <v/>
      </c>
      <c r="J518" s="84" t="str">
        <f t="shared" si="27"/>
        <v/>
      </c>
      <c r="K518" s="80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spans="1:26" ht="15.75" customHeight="1" x14ac:dyDescent="0.25">
      <c r="A519" s="62"/>
      <c r="B519" s="62"/>
      <c r="C519" s="76"/>
      <c r="D519" s="77"/>
      <c r="E519" s="62"/>
      <c r="F519" s="83" t="str">
        <f t="shared" si="23"/>
        <v/>
      </c>
      <c r="G519" s="84" t="str">
        <f t="shared" si="24"/>
        <v/>
      </c>
      <c r="H519" s="84" t="str">
        <f t="shared" si="25"/>
        <v/>
      </c>
      <c r="I519" s="84" t="str">
        <f t="shared" si="26"/>
        <v/>
      </c>
      <c r="J519" s="84" t="str">
        <f t="shared" si="27"/>
        <v/>
      </c>
      <c r="K519" s="80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spans="1:26" ht="15.75" customHeight="1" x14ac:dyDescent="0.25">
      <c r="A520" s="62"/>
      <c r="B520" s="62"/>
      <c r="C520" s="76"/>
      <c r="D520" s="77"/>
      <c r="E520" s="62"/>
      <c r="F520" s="83" t="str">
        <f t="shared" si="23"/>
        <v/>
      </c>
      <c r="G520" s="84" t="str">
        <f t="shared" si="24"/>
        <v/>
      </c>
      <c r="H520" s="84" t="str">
        <f t="shared" si="25"/>
        <v/>
      </c>
      <c r="I520" s="84" t="str">
        <f t="shared" si="26"/>
        <v/>
      </c>
      <c r="J520" s="84" t="str">
        <f t="shared" si="27"/>
        <v/>
      </c>
      <c r="K520" s="80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spans="1:26" ht="15.75" customHeight="1" x14ac:dyDescent="0.25">
      <c r="A521" s="62"/>
      <c r="B521" s="62"/>
      <c r="C521" s="76"/>
      <c r="D521" s="77"/>
      <c r="E521" s="62"/>
      <c r="F521" s="83" t="str">
        <f t="shared" si="23"/>
        <v/>
      </c>
      <c r="G521" s="84" t="str">
        <f t="shared" si="24"/>
        <v/>
      </c>
      <c r="H521" s="84" t="str">
        <f t="shared" si="25"/>
        <v/>
      </c>
      <c r="I521" s="84" t="str">
        <f t="shared" si="26"/>
        <v/>
      </c>
      <c r="J521" s="84" t="str">
        <f t="shared" si="27"/>
        <v/>
      </c>
      <c r="K521" s="80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spans="1:26" ht="15.75" customHeight="1" x14ac:dyDescent="0.25">
      <c r="A522" s="62"/>
      <c r="B522" s="62"/>
      <c r="C522" s="76"/>
      <c r="D522" s="77"/>
      <c r="E522" s="62"/>
      <c r="F522" s="83" t="str">
        <f t="shared" si="23"/>
        <v/>
      </c>
      <c r="G522" s="84" t="str">
        <f t="shared" si="24"/>
        <v/>
      </c>
      <c r="H522" s="84" t="str">
        <f t="shared" si="25"/>
        <v/>
      </c>
      <c r="I522" s="84" t="str">
        <f t="shared" si="26"/>
        <v/>
      </c>
      <c r="J522" s="84" t="str">
        <f t="shared" si="27"/>
        <v/>
      </c>
      <c r="K522" s="80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spans="1:26" ht="15.75" customHeight="1" x14ac:dyDescent="0.25">
      <c r="A523" s="62"/>
      <c r="B523" s="62"/>
      <c r="C523" s="76"/>
      <c r="D523" s="77"/>
      <c r="E523" s="62"/>
      <c r="F523" s="83" t="str">
        <f t="shared" si="23"/>
        <v/>
      </c>
      <c r="G523" s="84" t="str">
        <f t="shared" si="24"/>
        <v/>
      </c>
      <c r="H523" s="84" t="str">
        <f t="shared" si="25"/>
        <v/>
      </c>
      <c r="I523" s="84" t="str">
        <f t="shared" si="26"/>
        <v/>
      </c>
      <c r="J523" s="84" t="str">
        <f t="shared" si="27"/>
        <v/>
      </c>
      <c r="K523" s="80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spans="1:26" ht="15.75" customHeight="1" x14ac:dyDescent="0.25">
      <c r="A524" s="62"/>
      <c r="B524" s="62"/>
      <c r="C524" s="76"/>
      <c r="D524" s="77"/>
      <c r="E524" s="62"/>
      <c r="F524" s="83" t="str">
        <f t="shared" si="23"/>
        <v/>
      </c>
      <c r="G524" s="84" t="str">
        <f t="shared" si="24"/>
        <v/>
      </c>
      <c r="H524" s="84" t="str">
        <f t="shared" si="25"/>
        <v/>
      </c>
      <c r="I524" s="84" t="str">
        <f t="shared" si="26"/>
        <v/>
      </c>
      <c r="J524" s="84" t="str">
        <f t="shared" si="27"/>
        <v/>
      </c>
      <c r="K524" s="80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spans="1:26" ht="15.75" customHeight="1" x14ac:dyDescent="0.25">
      <c r="A525" s="62"/>
      <c r="B525" s="62"/>
      <c r="C525" s="76"/>
      <c r="D525" s="77"/>
      <c r="E525" s="62"/>
      <c r="F525" s="83" t="str">
        <f t="shared" si="23"/>
        <v/>
      </c>
      <c r="G525" s="84" t="str">
        <f t="shared" si="24"/>
        <v/>
      </c>
      <c r="H525" s="84" t="str">
        <f t="shared" si="25"/>
        <v/>
      </c>
      <c r="I525" s="84" t="str">
        <f t="shared" si="26"/>
        <v/>
      </c>
      <c r="J525" s="84" t="str">
        <f t="shared" si="27"/>
        <v/>
      </c>
      <c r="K525" s="80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spans="1:26" ht="15.75" customHeight="1" x14ac:dyDescent="0.25">
      <c r="A526" s="62"/>
      <c r="B526" s="62"/>
      <c r="C526" s="76"/>
      <c r="D526" s="77"/>
      <c r="E526" s="62"/>
      <c r="F526" s="83" t="str">
        <f t="shared" si="23"/>
        <v/>
      </c>
      <c r="G526" s="84" t="str">
        <f t="shared" si="24"/>
        <v/>
      </c>
      <c r="H526" s="84" t="str">
        <f t="shared" si="25"/>
        <v/>
      </c>
      <c r="I526" s="84" t="str">
        <f t="shared" si="26"/>
        <v/>
      </c>
      <c r="J526" s="84" t="str">
        <f t="shared" si="27"/>
        <v/>
      </c>
      <c r="K526" s="80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spans="1:26" ht="15.75" customHeight="1" x14ac:dyDescent="0.25">
      <c r="A527" s="62"/>
      <c r="B527" s="62"/>
      <c r="C527" s="76"/>
      <c r="D527" s="77"/>
      <c r="E527" s="62"/>
      <c r="F527" s="83" t="str">
        <f t="shared" si="23"/>
        <v/>
      </c>
      <c r="G527" s="84" t="str">
        <f t="shared" si="24"/>
        <v/>
      </c>
      <c r="H527" s="84" t="str">
        <f t="shared" si="25"/>
        <v/>
      </c>
      <c r="I527" s="84" t="str">
        <f t="shared" si="26"/>
        <v/>
      </c>
      <c r="J527" s="84" t="str">
        <f t="shared" si="27"/>
        <v/>
      </c>
      <c r="K527" s="80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spans="1:26" ht="15.75" customHeight="1" x14ac:dyDescent="0.25">
      <c r="A528" s="62"/>
      <c r="B528" s="62"/>
      <c r="C528" s="76"/>
      <c r="D528" s="77"/>
      <c r="E528" s="62"/>
      <c r="F528" s="83" t="str">
        <f t="shared" si="23"/>
        <v/>
      </c>
      <c r="G528" s="84" t="str">
        <f t="shared" si="24"/>
        <v/>
      </c>
      <c r="H528" s="84" t="str">
        <f t="shared" si="25"/>
        <v/>
      </c>
      <c r="I528" s="84" t="str">
        <f t="shared" si="26"/>
        <v/>
      </c>
      <c r="J528" s="84" t="str">
        <f t="shared" si="27"/>
        <v/>
      </c>
      <c r="K528" s="80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spans="1:26" ht="15.75" customHeight="1" x14ac:dyDescent="0.25">
      <c r="A529" s="62"/>
      <c r="B529" s="62"/>
      <c r="C529" s="76"/>
      <c r="D529" s="77"/>
      <c r="E529" s="62"/>
      <c r="F529" s="83" t="str">
        <f t="shared" si="23"/>
        <v/>
      </c>
      <c r="G529" s="84" t="str">
        <f t="shared" si="24"/>
        <v/>
      </c>
      <c r="H529" s="84" t="str">
        <f t="shared" si="25"/>
        <v/>
      </c>
      <c r="I529" s="84" t="str">
        <f t="shared" si="26"/>
        <v/>
      </c>
      <c r="J529" s="84" t="str">
        <f t="shared" si="27"/>
        <v/>
      </c>
      <c r="K529" s="80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spans="1:26" ht="15.75" customHeight="1" x14ac:dyDescent="0.25">
      <c r="A530" s="62"/>
      <c r="B530" s="62"/>
      <c r="C530" s="76"/>
      <c r="D530" s="77"/>
      <c r="E530" s="62"/>
      <c r="F530" s="83" t="str">
        <f t="shared" si="23"/>
        <v/>
      </c>
      <c r="G530" s="84" t="str">
        <f t="shared" si="24"/>
        <v/>
      </c>
      <c r="H530" s="84" t="str">
        <f t="shared" si="25"/>
        <v/>
      </c>
      <c r="I530" s="84" t="str">
        <f t="shared" si="26"/>
        <v/>
      </c>
      <c r="J530" s="84" t="str">
        <f t="shared" si="27"/>
        <v/>
      </c>
      <c r="K530" s="80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spans="1:26" ht="15.75" customHeight="1" x14ac:dyDescent="0.25">
      <c r="A531" s="62"/>
      <c r="B531" s="62"/>
      <c r="C531" s="76"/>
      <c r="D531" s="77"/>
      <c r="E531" s="62"/>
      <c r="F531" s="83" t="str">
        <f t="shared" si="23"/>
        <v/>
      </c>
      <c r="G531" s="84" t="str">
        <f t="shared" si="24"/>
        <v/>
      </c>
      <c r="H531" s="84" t="str">
        <f t="shared" si="25"/>
        <v/>
      </c>
      <c r="I531" s="84" t="str">
        <f t="shared" si="26"/>
        <v/>
      </c>
      <c r="J531" s="84" t="str">
        <f t="shared" si="27"/>
        <v/>
      </c>
      <c r="K531" s="80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spans="1:26" ht="15.75" customHeight="1" x14ac:dyDescent="0.25">
      <c r="A532" s="62"/>
      <c r="B532" s="62"/>
      <c r="C532" s="76"/>
      <c r="D532" s="77"/>
      <c r="E532" s="62"/>
      <c r="F532" s="83" t="str">
        <f t="shared" si="23"/>
        <v/>
      </c>
      <c r="G532" s="84" t="str">
        <f t="shared" si="24"/>
        <v/>
      </c>
      <c r="H532" s="84" t="str">
        <f t="shared" si="25"/>
        <v/>
      </c>
      <c r="I532" s="84" t="str">
        <f t="shared" si="26"/>
        <v/>
      </c>
      <c r="J532" s="84" t="str">
        <f t="shared" si="27"/>
        <v/>
      </c>
      <c r="K532" s="80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spans="1:26" ht="15.75" customHeight="1" x14ac:dyDescent="0.25">
      <c r="A533" s="62"/>
      <c r="B533" s="62"/>
      <c r="C533" s="76"/>
      <c r="D533" s="77"/>
      <c r="E533" s="62"/>
      <c r="F533" s="83" t="str">
        <f t="shared" si="23"/>
        <v/>
      </c>
      <c r="G533" s="84" t="str">
        <f t="shared" si="24"/>
        <v/>
      </c>
      <c r="H533" s="84" t="str">
        <f t="shared" si="25"/>
        <v/>
      </c>
      <c r="I533" s="84" t="str">
        <f t="shared" si="26"/>
        <v/>
      </c>
      <c r="J533" s="84" t="str">
        <f t="shared" si="27"/>
        <v/>
      </c>
      <c r="K533" s="80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spans="1:26" ht="15.75" customHeight="1" x14ac:dyDescent="0.25">
      <c r="A534" s="62"/>
      <c r="B534" s="62"/>
      <c r="C534" s="76"/>
      <c r="D534" s="77"/>
      <c r="E534" s="62"/>
      <c r="F534" s="83" t="str">
        <f t="shared" si="23"/>
        <v/>
      </c>
      <c r="G534" s="84" t="str">
        <f t="shared" si="24"/>
        <v/>
      </c>
      <c r="H534" s="84" t="str">
        <f t="shared" si="25"/>
        <v/>
      </c>
      <c r="I534" s="84" t="str">
        <f t="shared" si="26"/>
        <v/>
      </c>
      <c r="J534" s="84" t="str">
        <f t="shared" si="27"/>
        <v/>
      </c>
      <c r="K534" s="80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spans="1:26" ht="15.75" customHeight="1" x14ac:dyDescent="0.25">
      <c r="A535" s="62"/>
      <c r="B535" s="62"/>
      <c r="C535" s="76"/>
      <c r="D535" s="77"/>
      <c r="E535" s="62"/>
      <c r="F535" s="83" t="str">
        <f t="shared" si="23"/>
        <v/>
      </c>
      <c r="G535" s="84" t="str">
        <f t="shared" si="24"/>
        <v/>
      </c>
      <c r="H535" s="84" t="str">
        <f t="shared" si="25"/>
        <v/>
      </c>
      <c r="I535" s="84" t="str">
        <f t="shared" si="26"/>
        <v/>
      </c>
      <c r="J535" s="84" t="str">
        <f t="shared" si="27"/>
        <v/>
      </c>
      <c r="K535" s="80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spans="1:26" ht="15.75" customHeight="1" x14ac:dyDescent="0.25">
      <c r="A536" s="62"/>
      <c r="B536" s="62"/>
      <c r="C536" s="76"/>
      <c r="D536" s="77"/>
      <c r="E536" s="62"/>
      <c r="F536" s="83" t="str">
        <f t="shared" si="23"/>
        <v/>
      </c>
      <c r="G536" s="84" t="str">
        <f t="shared" si="24"/>
        <v/>
      </c>
      <c r="H536" s="84" t="str">
        <f t="shared" si="25"/>
        <v/>
      </c>
      <c r="I536" s="84" t="str">
        <f t="shared" si="26"/>
        <v/>
      </c>
      <c r="J536" s="84" t="str">
        <f t="shared" si="27"/>
        <v/>
      </c>
      <c r="K536" s="80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spans="1:26" ht="15.75" customHeight="1" x14ac:dyDescent="0.25">
      <c r="A537" s="62"/>
      <c r="B537" s="62"/>
      <c r="C537" s="76"/>
      <c r="D537" s="77"/>
      <c r="E537" s="62"/>
      <c r="F537" s="83" t="str">
        <f t="shared" si="23"/>
        <v/>
      </c>
      <c r="G537" s="84" t="str">
        <f t="shared" si="24"/>
        <v/>
      </c>
      <c r="H537" s="84" t="str">
        <f t="shared" si="25"/>
        <v/>
      </c>
      <c r="I537" s="84" t="str">
        <f t="shared" si="26"/>
        <v/>
      </c>
      <c r="J537" s="84" t="str">
        <f t="shared" si="27"/>
        <v/>
      </c>
      <c r="K537" s="80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spans="1:26" ht="15.75" customHeight="1" x14ac:dyDescent="0.25">
      <c r="A538" s="62"/>
      <c r="B538" s="62"/>
      <c r="C538" s="76"/>
      <c r="D538" s="77"/>
      <c r="E538" s="62"/>
      <c r="F538" s="83" t="str">
        <f t="shared" si="23"/>
        <v/>
      </c>
      <c r="G538" s="84" t="str">
        <f t="shared" si="24"/>
        <v/>
      </c>
      <c r="H538" s="84" t="str">
        <f t="shared" si="25"/>
        <v/>
      </c>
      <c r="I538" s="84" t="str">
        <f t="shared" si="26"/>
        <v/>
      </c>
      <c r="J538" s="84" t="str">
        <f t="shared" si="27"/>
        <v/>
      </c>
      <c r="K538" s="80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spans="1:26" ht="15.75" customHeight="1" x14ac:dyDescent="0.25">
      <c r="A539" s="62"/>
      <c r="B539" s="62"/>
      <c r="C539" s="76"/>
      <c r="D539" s="77"/>
      <c r="E539" s="62"/>
      <c r="F539" s="83" t="str">
        <f t="shared" si="23"/>
        <v/>
      </c>
      <c r="G539" s="84" t="str">
        <f t="shared" si="24"/>
        <v/>
      </c>
      <c r="H539" s="84" t="str">
        <f t="shared" si="25"/>
        <v/>
      </c>
      <c r="I539" s="84" t="str">
        <f t="shared" si="26"/>
        <v/>
      </c>
      <c r="J539" s="84" t="str">
        <f t="shared" si="27"/>
        <v/>
      </c>
      <c r="K539" s="80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spans="1:26" ht="15.75" customHeight="1" x14ac:dyDescent="0.25">
      <c r="A540" s="62"/>
      <c r="B540" s="62"/>
      <c r="C540" s="76"/>
      <c r="D540" s="77"/>
      <c r="E540" s="62"/>
      <c r="F540" s="83" t="str">
        <f t="shared" si="23"/>
        <v/>
      </c>
      <c r="G540" s="84" t="str">
        <f t="shared" si="24"/>
        <v/>
      </c>
      <c r="H540" s="84" t="str">
        <f t="shared" si="25"/>
        <v/>
      </c>
      <c r="I540" s="84" t="str">
        <f t="shared" si="26"/>
        <v/>
      </c>
      <c r="J540" s="84" t="str">
        <f t="shared" si="27"/>
        <v/>
      </c>
      <c r="K540" s="80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spans="1:26" ht="15.75" customHeight="1" x14ac:dyDescent="0.25">
      <c r="A541" s="62"/>
      <c r="B541" s="62"/>
      <c r="C541" s="76"/>
      <c r="D541" s="77"/>
      <c r="E541" s="62"/>
      <c r="F541" s="83" t="str">
        <f t="shared" si="23"/>
        <v/>
      </c>
      <c r="G541" s="84" t="str">
        <f t="shared" si="24"/>
        <v/>
      </c>
      <c r="H541" s="84" t="str">
        <f t="shared" si="25"/>
        <v/>
      </c>
      <c r="I541" s="84" t="str">
        <f t="shared" si="26"/>
        <v/>
      </c>
      <c r="J541" s="84" t="str">
        <f t="shared" si="27"/>
        <v/>
      </c>
      <c r="K541" s="80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spans="1:26" ht="15.75" customHeight="1" x14ac:dyDescent="0.25">
      <c r="A542" s="62"/>
      <c r="B542" s="62"/>
      <c r="C542" s="76"/>
      <c r="D542" s="77"/>
      <c r="E542" s="62"/>
      <c r="F542" s="83" t="str">
        <f t="shared" si="23"/>
        <v/>
      </c>
      <c r="G542" s="84" t="str">
        <f t="shared" si="24"/>
        <v/>
      </c>
      <c r="H542" s="84" t="str">
        <f t="shared" si="25"/>
        <v/>
      </c>
      <c r="I542" s="84" t="str">
        <f t="shared" si="26"/>
        <v/>
      </c>
      <c r="J542" s="84" t="str">
        <f t="shared" si="27"/>
        <v/>
      </c>
      <c r="K542" s="80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spans="1:26" ht="15.75" customHeight="1" x14ac:dyDescent="0.25">
      <c r="A543" s="62"/>
      <c r="B543" s="62"/>
      <c r="C543" s="76"/>
      <c r="D543" s="77"/>
      <c r="E543" s="62"/>
      <c r="F543" s="83" t="str">
        <f t="shared" si="23"/>
        <v/>
      </c>
      <c r="G543" s="84" t="str">
        <f t="shared" si="24"/>
        <v/>
      </c>
      <c r="H543" s="84" t="str">
        <f t="shared" si="25"/>
        <v/>
      </c>
      <c r="I543" s="84" t="str">
        <f t="shared" si="26"/>
        <v/>
      </c>
      <c r="J543" s="84" t="str">
        <f t="shared" si="27"/>
        <v/>
      </c>
      <c r="K543" s="80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spans="1:26" ht="15.75" customHeight="1" x14ac:dyDescent="0.25">
      <c r="A544" s="62"/>
      <c r="B544" s="62"/>
      <c r="C544" s="76"/>
      <c r="D544" s="77"/>
      <c r="E544" s="62"/>
      <c r="F544" s="83" t="str">
        <f t="shared" si="23"/>
        <v/>
      </c>
      <c r="G544" s="84" t="str">
        <f t="shared" si="24"/>
        <v/>
      </c>
      <c r="H544" s="84" t="str">
        <f t="shared" si="25"/>
        <v/>
      </c>
      <c r="I544" s="84" t="str">
        <f t="shared" si="26"/>
        <v/>
      </c>
      <c r="J544" s="84" t="str">
        <f t="shared" si="27"/>
        <v/>
      </c>
      <c r="K544" s="80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spans="1:26" ht="15.75" customHeight="1" x14ac:dyDescent="0.25">
      <c r="A545" s="62"/>
      <c r="B545" s="62"/>
      <c r="C545" s="76"/>
      <c r="D545" s="77"/>
      <c r="E545" s="62"/>
      <c r="F545" s="83" t="str">
        <f t="shared" si="23"/>
        <v/>
      </c>
      <c r="G545" s="84" t="str">
        <f t="shared" si="24"/>
        <v/>
      </c>
      <c r="H545" s="84" t="str">
        <f t="shared" si="25"/>
        <v/>
      </c>
      <c r="I545" s="84" t="str">
        <f t="shared" si="26"/>
        <v/>
      </c>
      <c r="J545" s="84" t="str">
        <f t="shared" si="27"/>
        <v/>
      </c>
      <c r="K545" s="80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spans="1:26" ht="15.75" customHeight="1" x14ac:dyDescent="0.25">
      <c r="A546" s="62"/>
      <c r="B546" s="62"/>
      <c r="C546" s="76"/>
      <c r="D546" s="77"/>
      <c r="E546" s="62"/>
      <c r="F546" s="83" t="str">
        <f t="shared" si="23"/>
        <v/>
      </c>
      <c r="G546" s="84" t="str">
        <f t="shared" si="24"/>
        <v/>
      </c>
      <c r="H546" s="84" t="str">
        <f t="shared" si="25"/>
        <v/>
      </c>
      <c r="I546" s="84" t="str">
        <f t="shared" si="26"/>
        <v/>
      </c>
      <c r="J546" s="84" t="str">
        <f t="shared" si="27"/>
        <v/>
      </c>
      <c r="K546" s="80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spans="1:26" ht="15.75" customHeight="1" x14ac:dyDescent="0.25">
      <c r="A547" s="62"/>
      <c r="B547" s="62"/>
      <c r="C547" s="76"/>
      <c r="D547" s="77"/>
      <c r="E547" s="62"/>
      <c r="F547" s="83" t="str">
        <f t="shared" si="23"/>
        <v/>
      </c>
      <c r="G547" s="84" t="str">
        <f t="shared" si="24"/>
        <v/>
      </c>
      <c r="H547" s="84" t="str">
        <f t="shared" si="25"/>
        <v/>
      </c>
      <c r="I547" s="84" t="str">
        <f t="shared" si="26"/>
        <v/>
      </c>
      <c r="J547" s="84" t="str">
        <f t="shared" si="27"/>
        <v/>
      </c>
      <c r="K547" s="80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spans="1:26" ht="15.75" customHeight="1" x14ac:dyDescent="0.25">
      <c r="A548" s="62"/>
      <c r="B548" s="62"/>
      <c r="C548" s="76"/>
      <c r="D548" s="77"/>
      <c r="E548" s="62"/>
      <c r="F548" s="83" t="str">
        <f t="shared" si="23"/>
        <v/>
      </c>
      <c r="G548" s="84" t="str">
        <f t="shared" si="24"/>
        <v/>
      </c>
      <c r="H548" s="84" t="str">
        <f t="shared" si="25"/>
        <v/>
      </c>
      <c r="I548" s="84" t="str">
        <f t="shared" si="26"/>
        <v/>
      </c>
      <c r="J548" s="84" t="str">
        <f t="shared" si="27"/>
        <v/>
      </c>
      <c r="K548" s="80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spans="1:26" ht="15.75" customHeight="1" x14ac:dyDescent="0.25">
      <c r="A549" s="62"/>
      <c r="B549" s="62"/>
      <c r="C549" s="76"/>
      <c r="D549" s="77"/>
      <c r="E549" s="62"/>
      <c r="F549" s="83" t="str">
        <f t="shared" si="23"/>
        <v/>
      </c>
      <c r="G549" s="84" t="str">
        <f t="shared" si="24"/>
        <v/>
      </c>
      <c r="H549" s="84" t="str">
        <f t="shared" si="25"/>
        <v/>
      </c>
      <c r="I549" s="84" t="str">
        <f t="shared" si="26"/>
        <v/>
      </c>
      <c r="J549" s="84" t="str">
        <f t="shared" si="27"/>
        <v/>
      </c>
      <c r="K549" s="80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spans="1:26" ht="15.75" customHeight="1" x14ac:dyDescent="0.25">
      <c r="A550" s="62"/>
      <c r="B550" s="62"/>
      <c r="C550" s="76"/>
      <c r="D550" s="77"/>
      <c r="E550" s="62"/>
      <c r="F550" s="83" t="str">
        <f t="shared" si="23"/>
        <v/>
      </c>
      <c r="G550" s="84" t="str">
        <f t="shared" si="24"/>
        <v/>
      </c>
      <c r="H550" s="84" t="str">
        <f t="shared" si="25"/>
        <v/>
      </c>
      <c r="I550" s="84" t="str">
        <f t="shared" si="26"/>
        <v/>
      </c>
      <c r="J550" s="84" t="str">
        <f t="shared" si="27"/>
        <v/>
      </c>
      <c r="K550" s="80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spans="1:26" ht="15.75" customHeight="1" x14ac:dyDescent="0.25">
      <c r="A551" s="62"/>
      <c r="B551" s="62"/>
      <c r="C551" s="76"/>
      <c r="D551" s="77"/>
      <c r="E551" s="62"/>
      <c r="F551" s="83" t="str">
        <f t="shared" si="23"/>
        <v/>
      </c>
      <c r="G551" s="84" t="str">
        <f t="shared" si="24"/>
        <v/>
      </c>
      <c r="H551" s="84" t="str">
        <f t="shared" si="25"/>
        <v/>
      </c>
      <c r="I551" s="84" t="str">
        <f t="shared" si="26"/>
        <v/>
      </c>
      <c r="J551" s="84" t="str">
        <f t="shared" si="27"/>
        <v/>
      </c>
      <c r="K551" s="80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spans="1:26" ht="15.75" customHeight="1" x14ac:dyDescent="0.25">
      <c r="A552" s="62"/>
      <c r="B552" s="62"/>
      <c r="C552" s="76"/>
      <c r="D552" s="77"/>
      <c r="E552" s="62"/>
      <c r="F552" s="83" t="str">
        <f t="shared" si="23"/>
        <v/>
      </c>
      <c r="G552" s="84" t="str">
        <f t="shared" si="24"/>
        <v/>
      </c>
      <c r="H552" s="84" t="str">
        <f t="shared" si="25"/>
        <v/>
      </c>
      <c r="I552" s="84" t="str">
        <f t="shared" si="26"/>
        <v/>
      </c>
      <c r="J552" s="84" t="str">
        <f t="shared" si="27"/>
        <v/>
      </c>
      <c r="K552" s="80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spans="1:26" ht="15.75" customHeight="1" x14ac:dyDescent="0.25">
      <c r="A553" s="62"/>
      <c r="B553" s="62"/>
      <c r="C553" s="76"/>
      <c r="D553" s="77"/>
      <c r="E553" s="62"/>
      <c r="F553" s="83" t="str">
        <f t="shared" si="23"/>
        <v/>
      </c>
      <c r="G553" s="84" t="str">
        <f t="shared" si="24"/>
        <v/>
      </c>
      <c r="H553" s="84" t="str">
        <f t="shared" si="25"/>
        <v/>
      </c>
      <c r="I553" s="84" t="str">
        <f t="shared" si="26"/>
        <v/>
      </c>
      <c r="J553" s="84" t="str">
        <f t="shared" si="27"/>
        <v/>
      </c>
      <c r="K553" s="80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spans="1:26" ht="15.75" customHeight="1" x14ac:dyDescent="0.25">
      <c r="A554" s="62"/>
      <c r="B554" s="62"/>
      <c r="C554" s="76"/>
      <c r="D554" s="77"/>
      <c r="E554" s="62"/>
      <c r="F554" s="83" t="str">
        <f t="shared" si="23"/>
        <v/>
      </c>
      <c r="G554" s="84" t="str">
        <f t="shared" si="24"/>
        <v/>
      </c>
      <c r="H554" s="84" t="str">
        <f t="shared" si="25"/>
        <v/>
      </c>
      <c r="I554" s="84" t="str">
        <f t="shared" si="26"/>
        <v/>
      </c>
      <c r="J554" s="84" t="str">
        <f t="shared" si="27"/>
        <v/>
      </c>
      <c r="K554" s="80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spans="1:26" ht="15.75" customHeight="1" x14ac:dyDescent="0.25">
      <c r="A555" s="62"/>
      <c r="B555" s="62"/>
      <c r="C555" s="76"/>
      <c r="D555" s="77"/>
      <c r="E555" s="62"/>
      <c r="F555" s="83" t="str">
        <f t="shared" si="23"/>
        <v/>
      </c>
      <c r="G555" s="84" t="str">
        <f t="shared" si="24"/>
        <v/>
      </c>
      <c r="H555" s="84" t="str">
        <f t="shared" si="25"/>
        <v/>
      </c>
      <c r="I555" s="84" t="str">
        <f t="shared" si="26"/>
        <v/>
      </c>
      <c r="J555" s="84" t="str">
        <f t="shared" si="27"/>
        <v/>
      </c>
      <c r="K555" s="80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spans="1:26" ht="15.75" customHeight="1" x14ac:dyDescent="0.25">
      <c r="A556" s="62"/>
      <c r="B556" s="62"/>
      <c r="C556" s="76"/>
      <c r="D556" s="77"/>
      <c r="E556" s="62"/>
      <c r="F556" s="83" t="str">
        <f t="shared" si="23"/>
        <v/>
      </c>
      <c r="G556" s="84" t="str">
        <f t="shared" si="24"/>
        <v/>
      </c>
      <c r="H556" s="84" t="str">
        <f t="shared" si="25"/>
        <v/>
      </c>
      <c r="I556" s="84" t="str">
        <f t="shared" si="26"/>
        <v/>
      </c>
      <c r="J556" s="84" t="str">
        <f t="shared" si="27"/>
        <v/>
      </c>
      <c r="K556" s="80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spans="1:26" ht="15.75" customHeight="1" x14ac:dyDescent="0.25">
      <c r="A557" s="62"/>
      <c r="B557" s="62"/>
      <c r="C557" s="76"/>
      <c r="D557" s="77"/>
      <c r="E557" s="62"/>
      <c r="F557" s="83" t="str">
        <f t="shared" si="23"/>
        <v/>
      </c>
      <c r="G557" s="84" t="str">
        <f t="shared" si="24"/>
        <v/>
      </c>
      <c r="H557" s="84" t="str">
        <f t="shared" si="25"/>
        <v/>
      </c>
      <c r="I557" s="84" t="str">
        <f t="shared" si="26"/>
        <v/>
      </c>
      <c r="J557" s="84" t="str">
        <f t="shared" si="27"/>
        <v/>
      </c>
      <c r="K557" s="80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spans="1:26" ht="15.75" customHeight="1" x14ac:dyDescent="0.25">
      <c r="A558" s="62"/>
      <c r="B558" s="62"/>
      <c r="C558" s="76"/>
      <c r="D558" s="77"/>
      <c r="E558" s="62"/>
      <c r="F558" s="83" t="str">
        <f t="shared" si="23"/>
        <v/>
      </c>
      <c r="G558" s="84" t="str">
        <f t="shared" si="24"/>
        <v/>
      </c>
      <c r="H558" s="84" t="str">
        <f t="shared" si="25"/>
        <v/>
      </c>
      <c r="I558" s="84" t="str">
        <f t="shared" si="26"/>
        <v/>
      </c>
      <c r="J558" s="84" t="str">
        <f t="shared" si="27"/>
        <v/>
      </c>
      <c r="K558" s="80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spans="1:26" ht="15.75" customHeight="1" x14ac:dyDescent="0.25">
      <c r="A559" s="62"/>
      <c r="B559" s="62"/>
      <c r="C559" s="76"/>
      <c r="D559" s="77"/>
      <c r="E559" s="62"/>
      <c r="F559" s="83" t="str">
        <f t="shared" si="23"/>
        <v/>
      </c>
      <c r="G559" s="84" t="str">
        <f t="shared" si="24"/>
        <v/>
      </c>
      <c r="H559" s="84" t="str">
        <f t="shared" si="25"/>
        <v/>
      </c>
      <c r="I559" s="84" t="str">
        <f t="shared" si="26"/>
        <v/>
      </c>
      <c r="J559" s="84" t="str">
        <f t="shared" si="27"/>
        <v/>
      </c>
      <c r="K559" s="80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spans="1:26" ht="15.75" customHeight="1" x14ac:dyDescent="0.25">
      <c r="A560" s="62"/>
      <c r="B560" s="62"/>
      <c r="C560" s="76"/>
      <c r="D560" s="77"/>
      <c r="E560" s="62"/>
      <c r="F560" s="83" t="str">
        <f t="shared" si="23"/>
        <v/>
      </c>
      <c r="G560" s="84" t="str">
        <f t="shared" si="24"/>
        <v/>
      </c>
      <c r="H560" s="84" t="str">
        <f t="shared" si="25"/>
        <v/>
      </c>
      <c r="I560" s="84" t="str">
        <f t="shared" si="26"/>
        <v/>
      </c>
      <c r="J560" s="84" t="str">
        <f t="shared" si="27"/>
        <v/>
      </c>
      <c r="K560" s="80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spans="1:26" ht="15.75" customHeight="1" x14ac:dyDescent="0.25">
      <c r="A561" s="62"/>
      <c r="B561" s="62"/>
      <c r="C561" s="76"/>
      <c r="D561" s="77"/>
      <c r="E561" s="62"/>
      <c r="F561" s="83" t="str">
        <f t="shared" si="23"/>
        <v/>
      </c>
      <c r="G561" s="84" t="str">
        <f t="shared" si="24"/>
        <v/>
      </c>
      <c r="H561" s="84" t="str">
        <f t="shared" si="25"/>
        <v/>
      </c>
      <c r="I561" s="84" t="str">
        <f t="shared" si="26"/>
        <v/>
      </c>
      <c r="J561" s="84" t="str">
        <f t="shared" si="27"/>
        <v/>
      </c>
      <c r="K561" s="80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spans="1:26" ht="15.75" customHeight="1" x14ac:dyDescent="0.25">
      <c r="A562" s="62"/>
      <c r="B562" s="62"/>
      <c r="C562" s="76"/>
      <c r="D562" s="77"/>
      <c r="E562" s="62"/>
      <c r="F562" s="83" t="str">
        <f t="shared" si="23"/>
        <v/>
      </c>
      <c r="G562" s="84" t="str">
        <f t="shared" si="24"/>
        <v/>
      </c>
      <c r="H562" s="84" t="str">
        <f t="shared" si="25"/>
        <v/>
      </c>
      <c r="I562" s="84" t="str">
        <f t="shared" si="26"/>
        <v/>
      </c>
      <c r="J562" s="84" t="str">
        <f t="shared" si="27"/>
        <v/>
      </c>
      <c r="K562" s="80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spans="1:26" ht="15.75" customHeight="1" x14ac:dyDescent="0.25">
      <c r="A563" s="62"/>
      <c r="B563" s="62"/>
      <c r="C563" s="76"/>
      <c r="D563" s="77"/>
      <c r="E563" s="62"/>
      <c r="F563" s="83" t="str">
        <f t="shared" si="23"/>
        <v/>
      </c>
      <c r="G563" s="84" t="str">
        <f t="shared" si="24"/>
        <v/>
      </c>
      <c r="H563" s="84" t="str">
        <f t="shared" si="25"/>
        <v/>
      </c>
      <c r="I563" s="84" t="str">
        <f t="shared" si="26"/>
        <v/>
      </c>
      <c r="J563" s="84" t="str">
        <f t="shared" si="27"/>
        <v/>
      </c>
      <c r="K563" s="80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spans="1:26" ht="15.75" customHeight="1" x14ac:dyDescent="0.25">
      <c r="A564" s="62"/>
      <c r="B564" s="62"/>
      <c r="C564" s="76"/>
      <c r="D564" s="77"/>
      <c r="E564" s="62"/>
      <c r="F564" s="83" t="str">
        <f t="shared" si="23"/>
        <v/>
      </c>
      <c r="G564" s="84" t="str">
        <f t="shared" si="24"/>
        <v/>
      </c>
      <c r="H564" s="84" t="str">
        <f t="shared" si="25"/>
        <v/>
      </c>
      <c r="I564" s="84" t="str">
        <f t="shared" si="26"/>
        <v/>
      </c>
      <c r="J564" s="84" t="str">
        <f t="shared" si="27"/>
        <v/>
      </c>
      <c r="K564" s="80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spans="1:26" ht="15.75" customHeight="1" x14ac:dyDescent="0.25">
      <c r="A565" s="62"/>
      <c r="B565" s="62"/>
      <c r="C565" s="76"/>
      <c r="D565" s="77"/>
      <c r="E565" s="62"/>
      <c r="F565" s="83" t="str">
        <f t="shared" si="23"/>
        <v/>
      </c>
      <c r="G565" s="84" t="str">
        <f t="shared" si="24"/>
        <v/>
      </c>
      <c r="H565" s="84" t="str">
        <f t="shared" si="25"/>
        <v/>
      </c>
      <c r="I565" s="84" t="str">
        <f t="shared" si="26"/>
        <v/>
      </c>
      <c r="J565" s="84" t="str">
        <f t="shared" si="27"/>
        <v/>
      </c>
      <c r="K565" s="80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spans="1:26" ht="15.75" customHeight="1" x14ac:dyDescent="0.25">
      <c r="A566" s="62"/>
      <c r="B566" s="62"/>
      <c r="C566" s="76"/>
      <c r="D566" s="77"/>
      <c r="E566" s="62"/>
      <c r="F566" s="83" t="str">
        <f t="shared" si="23"/>
        <v/>
      </c>
      <c r="G566" s="84" t="str">
        <f t="shared" si="24"/>
        <v/>
      </c>
      <c r="H566" s="84" t="str">
        <f t="shared" si="25"/>
        <v/>
      </c>
      <c r="I566" s="84" t="str">
        <f t="shared" si="26"/>
        <v/>
      </c>
      <c r="J566" s="84" t="str">
        <f t="shared" si="27"/>
        <v/>
      </c>
      <c r="K566" s="80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spans="1:26" ht="15.75" customHeight="1" x14ac:dyDescent="0.25">
      <c r="A567" s="62"/>
      <c r="B567" s="62"/>
      <c r="C567" s="76"/>
      <c r="D567" s="77"/>
      <c r="E567" s="62"/>
      <c r="F567" s="83" t="str">
        <f t="shared" si="23"/>
        <v/>
      </c>
      <c r="G567" s="84" t="str">
        <f t="shared" si="24"/>
        <v/>
      </c>
      <c r="H567" s="84" t="str">
        <f t="shared" si="25"/>
        <v/>
      </c>
      <c r="I567" s="84" t="str">
        <f t="shared" si="26"/>
        <v/>
      </c>
      <c r="J567" s="84" t="str">
        <f t="shared" si="27"/>
        <v/>
      </c>
      <c r="K567" s="80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spans="1:26" ht="15.75" customHeight="1" x14ac:dyDescent="0.25">
      <c r="A568" s="62"/>
      <c r="B568" s="62"/>
      <c r="C568" s="76"/>
      <c r="D568" s="77"/>
      <c r="E568" s="62"/>
      <c r="F568" s="83" t="str">
        <f t="shared" si="23"/>
        <v/>
      </c>
      <c r="G568" s="84" t="str">
        <f t="shared" si="24"/>
        <v/>
      </c>
      <c r="H568" s="84" t="str">
        <f t="shared" si="25"/>
        <v/>
      </c>
      <c r="I568" s="84" t="str">
        <f t="shared" si="26"/>
        <v/>
      </c>
      <c r="J568" s="84" t="str">
        <f t="shared" si="27"/>
        <v/>
      </c>
      <c r="K568" s="80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spans="1:26" ht="15.75" customHeight="1" x14ac:dyDescent="0.25">
      <c r="A569" s="62"/>
      <c r="B569" s="62"/>
      <c r="C569" s="76"/>
      <c r="D569" s="77"/>
      <c r="E569" s="62"/>
      <c r="F569" s="83" t="str">
        <f t="shared" si="23"/>
        <v/>
      </c>
      <c r="G569" s="84" t="str">
        <f t="shared" si="24"/>
        <v/>
      </c>
      <c r="H569" s="84" t="str">
        <f t="shared" si="25"/>
        <v/>
      </c>
      <c r="I569" s="84" t="str">
        <f t="shared" si="26"/>
        <v/>
      </c>
      <c r="J569" s="84" t="str">
        <f t="shared" si="27"/>
        <v/>
      </c>
      <c r="K569" s="80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spans="1:26" ht="15.75" customHeight="1" x14ac:dyDescent="0.25">
      <c r="A570" s="62"/>
      <c r="B570" s="62"/>
      <c r="C570" s="76"/>
      <c r="D570" s="77"/>
      <c r="E570" s="62"/>
      <c r="F570" s="83" t="str">
        <f t="shared" si="23"/>
        <v/>
      </c>
      <c r="G570" s="84" t="str">
        <f t="shared" si="24"/>
        <v/>
      </c>
      <c r="H570" s="84" t="str">
        <f t="shared" si="25"/>
        <v/>
      </c>
      <c r="I570" s="84" t="str">
        <f t="shared" si="26"/>
        <v/>
      </c>
      <c r="J570" s="84" t="str">
        <f t="shared" si="27"/>
        <v/>
      </c>
      <c r="K570" s="80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spans="1:26" ht="15.75" customHeight="1" x14ac:dyDescent="0.25">
      <c r="A571" s="62"/>
      <c r="B571" s="62"/>
      <c r="C571" s="76"/>
      <c r="D571" s="77"/>
      <c r="E571" s="62"/>
      <c r="F571" s="83" t="str">
        <f t="shared" si="23"/>
        <v/>
      </c>
      <c r="G571" s="84" t="str">
        <f t="shared" si="24"/>
        <v/>
      </c>
      <c r="H571" s="84" t="str">
        <f t="shared" si="25"/>
        <v/>
      </c>
      <c r="I571" s="84" t="str">
        <f t="shared" si="26"/>
        <v/>
      </c>
      <c r="J571" s="84" t="str">
        <f t="shared" si="27"/>
        <v/>
      </c>
      <c r="K571" s="80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spans="1:26" ht="15.75" customHeight="1" x14ac:dyDescent="0.25">
      <c r="A572" s="62"/>
      <c r="B572" s="62"/>
      <c r="C572" s="76"/>
      <c r="D572" s="77"/>
      <c r="E572" s="62"/>
      <c r="F572" s="83" t="str">
        <f t="shared" si="23"/>
        <v/>
      </c>
      <c r="G572" s="84" t="str">
        <f t="shared" si="24"/>
        <v/>
      </c>
      <c r="H572" s="84" t="str">
        <f t="shared" si="25"/>
        <v/>
      </c>
      <c r="I572" s="84" t="str">
        <f t="shared" si="26"/>
        <v/>
      </c>
      <c r="J572" s="84" t="str">
        <f t="shared" si="27"/>
        <v/>
      </c>
      <c r="K572" s="80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spans="1:26" ht="15.75" customHeight="1" x14ac:dyDescent="0.25">
      <c r="A573" s="62"/>
      <c r="B573" s="62"/>
      <c r="C573" s="76"/>
      <c r="D573" s="77"/>
      <c r="E573" s="62"/>
      <c r="F573" s="83" t="str">
        <f t="shared" si="23"/>
        <v/>
      </c>
      <c r="G573" s="84" t="str">
        <f t="shared" si="24"/>
        <v/>
      </c>
      <c r="H573" s="84" t="str">
        <f t="shared" si="25"/>
        <v/>
      </c>
      <c r="I573" s="84" t="str">
        <f t="shared" si="26"/>
        <v/>
      </c>
      <c r="J573" s="84" t="str">
        <f t="shared" si="27"/>
        <v/>
      </c>
      <c r="K573" s="80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spans="1:26" ht="15.75" customHeight="1" x14ac:dyDescent="0.25">
      <c r="A574" s="62"/>
      <c r="B574" s="62"/>
      <c r="C574" s="76"/>
      <c r="D574" s="77"/>
      <c r="E574" s="62"/>
      <c r="F574" s="83" t="str">
        <f t="shared" si="23"/>
        <v/>
      </c>
      <c r="G574" s="84" t="str">
        <f t="shared" si="24"/>
        <v/>
      </c>
      <c r="H574" s="84" t="str">
        <f t="shared" si="25"/>
        <v/>
      </c>
      <c r="I574" s="84" t="str">
        <f t="shared" si="26"/>
        <v/>
      </c>
      <c r="J574" s="84" t="str">
        <f t="shared" si="27"/>
        <v/>
      </c>
      <c r="K574" s="80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spans="1:26" ht="15.75" customHeight="1" x14ac:dyDescent="0.25">
      <c r="A575" s="62"/>
      <c r="B575" s="62"/>
      <c r="C575" s="76"/>
      <c r="D575" s="77"/>
      <c r="E575" s="62"/>
      <c r="F575" s="83" t="str">
        <f t="shared" si="23"/>
        <v/>
      </c>
      <c r="G575" s="84" t="str">
        <f t="shared" si="24"/>
        <v/>
      </c>
      <c r="H575" s="84" t="str">
        <f t="shared" si="25"/>
        <v/>
      </c>
      <c r="I575" s="84" t="str">
        <f t="shared" si="26"/>
        <v/>
      </c>
      <c r="J575" s="84" t="str">
        <f t="shared" si="27"/>
        <v/>
      </c>
      <c r="K575" s="80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spans="1:26" ht="15.75" customHeight="1" x14ac:dyDescent="0.25">
      <c r="A576" s="62"/>
      <c r="B576" s="62"/>
      <c r="C576" s="76"/>
      <c r="D576" s="77"/>
      <c r="E576" s="62"/>
      <c r="F576" s="83" t="str">
        <f t="shared" si="23"/>
        <v/>
      </c>
      <c r="G576" s="84" t="str">
        <f t="shared" si="24"/>
        <v/>
      </c>
      <c r="H576" s="84" t="str">
        <f t="shared" si="25"/>
        <v/>
      </c>
      <c r="I576" s="84" t="str">
        <f t="shared" si="26"/>
        <v/>
      </c>
      <c r="J576" s="84" t="str">
        <f t="shared" si="27"/>
        <v/>
      </c>
      <c r="K576" s="80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spans="1:26" ht="15.75" customHeight="1" x14ac:dyDescent="0.25">
      <c r="A577" s="62"/>
      <c r="B577" s="62"/>
      <c r="C577" s="76"/>
      <c r="D577" s="77"/>
      <c r="E577" s="62"/>
      <c r="F577" s="83" t="str">
        <f t="shared" si="23"/>
        <v/>
      </c>
      <c r="G577" s="84" t="str">
        <f t="shared" si="24"/>
        <v/>
      </c>
      <c r="H577" s="84" t="str">
        <f t="shared" si="25"/>
        <v/>
      </c>
      <c r="I577" s="84" t="str">
        <f t="shared" si="26"/>
        <v/>
      </c>
      <c r="J577" s="84" t="str">
        <f t="shared" si="27"/>
        <v/>
      </c>
      <c r="K577" s="80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spans="1:26" ht="15.75" customHeight="1" x14ac:dyDescent="0.25">
      <c r="A578" s="62"/>
      <c r="B578" s="62"/>
      <c r="C578" s="76"/>
      <c r="D578" s="77"/>
      <c r="E578" s="62"/>
      <c r="F578" s="83" t="str">
        <f t="shared" si="23"/>
        <v/>
      </c>
      <c r="G578" s="84" t="str">
        <f t="shared" si="24"/>
        <v/>
      </c>
      <c r="H578" s="84" t="str">
        <f t="shared" si="25"/>
        <v/>
      </c>
      <c r="I578" s="84" t="str">
        <f t="shared" si="26"/>
        <v/>
      </c>
      <c r="J578" s="84" t="str">
        <f t="shared" si="27"/>
        <v/>
      </c>
      <c r="K578" s="80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spans="1:26" ht="15.75" customHeight="1" x14ac:dyDescent="0.25">
      <c r="A579" s="62"/>
      <c r="B579" s="62"/>
      <c r="C579" s="76"/>
      <c r="D579" s="77"/>
      <c r="E579" s="62"/>
      <c r="F579" s="83" t="str">
        <f t="shared" si="23"/>
        <v/>
      </c>
      <c r="G579" s="84" t="str">
        <f t="shared" si="24"/>
        <v/>
      </c>
      <c r="H579" s="84" t="str">
        <f t="shared" si="25"/>
        <v/>
      </c>
      <c r="I579" s="84" t="str">
        <f t="shared" si="26"/>
        <v/>
      </c>
      <c r="J579" s="84" t="str">
        <f t="shared" si="27"/>
        <v/>
      </c>
      <c r="K579" s="80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spans="1:26" ht="15.75" customHeight="1" x14ac:dyDescent="0.25">
      <c r="A580" s="62"/>
      <c r="B580" s="62"/>
      <c r="C580" s="76"/>
      <c r="D580" s="77"/>
      <c r="E580" s="62"/>
      <c r="F580" s="83" t="str">
        <f t="shared" si="23"/>
        <v/>
      </c>
      <c r="G580" s="84" t="str">
        <f t="shared" si="24"/>
        <v/>
      </c>
      <c r="H580" s="84" t="str">
        <f t="shared" si="25"/>
        <v/>
      </c>
      <c r="I580" s="84" t="str">
        <f t="shared" si="26"/>
        <v/>
      </c>
      <c r="J580" s="84" t="str">
        <f t="shared" si="27"/>
        <v/>
      </c>
      <c r="K580" s="80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spans="1:26" ht="15.75" customHeight="1" x14ac:dyDescent="0.25">
      <c r="A581" s="62"/>
      <c r="B581" s="62"/>
      <c r="C581" s="76"/>
      <c r="D581" s="77"/>
      <c r="E581" s="62"/>
      <c r="F581" s="83" t="str">
        <f t="shared" si="23"/>
        <v/>
      </c>
      <c r="G581" s="84" t="str">
        <f t="shared" si="24"/>
        <v/>
      </c>
      <c r="H581" s="84" t="str">
        <f t="shared" si="25"/>
        <v/>
      </c>
      <c r="I581" s="84" t="str">
        <f t="shared" si="26"/>
        <v/>
      </c>
      <c r="J581" s="84" t="str">
        <f t="shared" si="27"/>
        <v/>
      </c>
      <c r="K581" s="80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spans="1:26" ht="15.75" customHeight="1" x14ac:dyDescent="0.25">
      <c r="A582" s="62"/>
      <c r="B582" s="62"/>
      <c r="C582" s="76"/>
      <c r="D582" s="77"/>
      <c r="E582" s="62"/>
      <c r="F582" s="83" t="str">
        <f t="shared" si="23"/>
        <v/>
      </c>
      <c r="G582" s="84" t="str">
        <f t="shared" si="24"/>
        <v/>
      </c>
      <c r="H582" s="84" t="str">
        <f t="shared" si="25"/>
        <v/>
      </c>
      <c r="I582" s="84" t="str">
        <f t="shared" si="26"/>
        <v/>
      </c>
      <c r="J582" s="84" t="str">
        <f t="shared" si="27"/>
        <v/>
      </c>
      <c r="K582" s="80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spans="1:26" ht="15.75" customHeight="1" x14ac:dyDescent="0.25">
      <c r="A583" s="62"/>
      <c r="B583" s="62"/>
      <c r="C583" s="76"/>
      <c r="D583" s="77"/>
      <c r="E583" s="62"/>
      <c r="F583" s="83" t="str">
        <f t="shared" si="23"/>
        <v/>
      </c>
      <c r="G583" s="84" t="str">
        <f t="shared" si="24"/>
        <v/>
      </c>
      <c r="H583" s="84" t="str">
        <f t="shared" si="25"/>
        <v/>
      </c>
      <c r="I583" s="84" t="str">
        <f t="shared" si="26"/>
        <v/>
      </c>
      <c r="J583" s="84" t="str">
        <f t="shared" si="27"/>
        <v/>
      </c>
      <c r="K583" s="80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spans="1:26" ht="15.75" customHeight="1" x14ac:dyDescent="0.25">
      <c r="A584" s="62"/>
      <c r="B584" s="62"/>
      <c r="C584" s="76"/>
      <c r="D584" s="77"/>
      <c r="E584" s="62"/>
      <c r="F584" s="83" t="str">
        <f t="shared" si="23"/>
        <v/>
      </c>
      <c r="G584" s="84" t="str">
        <f t="shared" si="24"/>
        <v/>
      </c>
      <c r="H584" s="84" t="str">
        <f t="shared" si="25"/>
        <v/>
      </c>
      <c r="I584" s="84" t="str">
        <f t="shared" si="26"/>
        <v/>
      </c>
      <c r="J584" s="84" t="str">
        <f t="shared" si="27"/>
        <v/>
      </c>
      <c r="K584" s="80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spans="1:26" ht="15.75" customHeight="1" x14ac:dyDescent="0.25">
      <c r="A585" s="62"/>
      <c r="B585" s="62"/>
      <c r="C585" s="76"/>
      <c r="D585" s="77"/>
      <c r="E585" s="62"/>
      <c r="F585" s="83" t="str">
        <f t="shared" si="23"/>
        <v/>
      </c>
      <c r="G585" s="84" t="str">
        <f t="shared" si="24"/>
        <v/>
      </c>
      <c r="H585" s="84" t="str">
        <f t="shared" si="25"/>
        <v/>
      </c>
      <c r="I585" s="84" t="str">
        <f t="shared" si="26"/>
        <v/>
      </c>
      <c r="J585" s="84" t="str">
        <f t="shared" si="27"/>
        <v/>
      </c>
      <c r="K585" s="80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spans="1:26" ht="15.75" customHeight="1" x14ac:dyDescent="0.25">
      <c r="A586" s="62"/>
      <c r="B586" s="62"/>
      <c r="C586" s="76"/>
      <c r="D586" s="77"/>
      <c r="E586" s="62"/>
      <c r="F586" s="83" t="str">
        <f t="shared" si="23"/>
        <v/>
      </c>
      <c r="G586" s="84" t="str">
        <f t="shared" si="24"/>
        <v/>
      </c>
      <c r="H586" s="84" t="str">
        <f t="shared" si="25"/>
        <v/>
      </c>
      <c r="I586" s="84" t="str">
        <f t="shared" si="26"/>
        <v/>
      </c>
      <c r="J586" s="84" t="str">
        <f t="shared" si="27"/>
        <v/>
      </c>
      <c r="K586" s="80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spans="1:26" ht="15.75" customHeight="1" x14ac:dyDescent="0.25">
      <c r="A587" s="62"/>
      <c r="B587" s="62"/>
      <c r="C587" s="76"/>
      <c r="D587" s="77"/>
      <c r="E587" s="62"/>
      <c r="F587" s="83" t="str">
        <f t="shared" si="23"/>
        <v/>
      </c>
      <c r="G587" s="84" t="str">
        <f t="shared" si="24"/>
        <v/>
      </c>
      <c r="H587" s="84" t="str">
        <f t="shared" si="25"/>
        <v/>
      </c>
      <c r="I587" s="84" t="str">
        <f t="shared" si="26"/>
        <v/>
      </c>
      <c r="J587" s="84" t="str">
        <f t="shared" si="27"/>
        <v/>
      </c>
      <c r="K587" s="80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spans="1:26" ht="15.75" customHeight="1" x14ac:dyDescent="0.25">
      <c r="A588" s="62"/>
      <c r="B588" s="62"/>
      <c r="C588" s="76"/>
      <c r="D588" s="77"/>
      <c r="E588" s="62"/>
      <c r="F588" s="83" t="str">
        <f t="shared" si="23"/>
        <v/>
      </c>
      <c r="G588" s="84" t="str">
        <f t="shared" si="24"/>
        <v/>
      </c>
      <c r="H588" s="84" t="str">
        <f t="shared" si="25"/>
        <v/>
      </c>
      <c r="I588" s="84" t="str">
        <f t="shared" si="26"/>
        <v/>
      </c>
      <c r="J588" s="84" t="str">
        <f t="shared" si="27"/>
        <v/>
      </c>
      <c r="K588" s="80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spans="1:26" ht="15.75" customHeight="1" x14ac:dyDescent="0.25">
      <c r="A589" s="62"/>
      <c r="B589" s="62"/>
      <c r="C589" s="76"/>
      <c r="D589" s="77"/>
      <c r="E589" s="62"/>
      <c r="F589" s="83" t="str">
        <f t="shared" si="23"/>
        <v/>
      </c>
      <c r="G589" s="84" t="str">
        <f t="shared" si="24"/>
        <v/>
      </c>
      <c r="H589" s="84" t="str">
        <f t="shared" si="25"/>
        <v/>
      </c>
      <c r="I589" s="84" t="str">
        <f t="shared" si="26"/>
        <v/>
      </c>
      <c r="J589" s="84" t="str">
        <f t="shared" si="27"/>
        <v/>
      </c>
      <c r="K589" s="80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spans="1:26" ht="15.75" customHeight="1" x14ac:dyDescent="0.25">
      <c r="A590" s="62"/>
      <c r="B590" s="62"/>
      <c r="C590" s="76"/>
      <c r="D590" s="77"/>
      <c r="E590" s="62"/>
      <c r="F590" s="83" t="str">
        <f t="shared" si="23"/>
        <v/>
      </c>
      <c r="G590" s="84" t="str">
        <f t="shared" si="24"/>
        <v/>
      </c>
      <c r="H590" s="84" t="str">
        <f t="shared" si="25"/>
        <v/>
      </c>
      <c r="I590" s="84" t="str">
        <f t="shared" si="26"/>
        <v/>
      </c>
      <c r="J590" s="84" t="str">
        <f t="shared" si="27"/>
        <v/>
      </c>
      <c r="K590" s="80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spans="1:26" ht="15.75" customHeight="1" x14ac:dyDescent="0.25">
      <c r="A591" s="62"/>
      <c r="B591" s="62"/>
      <c r="C591" s="76"/>
      <c r="D591" s="77"/>
      <c r="E591" s="62"/>
      <c r="F591" s="83" t="str">
        <f t="shared" si="23"/>
        <v/>
      </c>
      <c r="G591" s="84" t="str">
        <f t="shared" si="24"/>
        <v/>
      </c>
      <c r="H591" s="84" t="str">
        <f t="shared" si="25"/>
        <v/>
      </c>
      <c r="I591" s="84" t="str">
        <f t="shared" si="26"/>
        <v/>
      </c>
      <c r="J591" s="84" t="str">
        <f t="shared" si="27"/>
        <v/>
      </c>
      <c r="K591" s="80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spans="1:26" ht="15.75" customHeight="1" x14ac:dyDescent="0.25">
      <c r="A592" s="62"/>
      <c r="B592" s="62"/>
      <c r="C592" s="76"/>
      <c r="D592" s="77"/>
      <c r="E592" s="62"/>
      <c r="F592" s="83" t="str">
        <f t="shared" si="23"/>
        <v/>
      </c>
      <c r="G592" s="84" t="str">
        <f t="shared" si="24"/>
        <v/>
      </c>
      <c r="H592" s="84" t="str">
        <f t="shared" si="25"/>
        <v/>
      </c>
      <c r="I592" s="84" t="str">
        <f t="shared" si="26"/>
        <v/>
      </c>
      <c r="J592" s="84" t="str">
        <f t="shared" si="27"/>
        <v/>
      </c>
      <c r="K592" s="80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spans="1:26" ht="15.75" customHeight="1" x14ac:dyDescent="0.25">
      <c r="A593" s="62"/>
      <c r="B593" s="62"/>
      <c r="C593" s="76"/>
      <c r="D593" s="77"/>
      <c r="E593" s="62"/>
      <c r="F593" s="83" t="str">
        <f t="shared" si="23"/>
        <v/>
      </c>
      <c r="G593" s="84" t="str">
        <f t="shared" si="24"/>
        <v/>
      </c>
      <c r="H593" s="84" t="str">
        <f t="shared" si="25"/>
        <v/>
      </c>
      <c r="I593" s="84" t="str">
        <f t="shared" si="26"/>
        <v/>
      </c>
      <c r="J593" s="84" t="str">
        <f t="shared" si="27"/>
        <v/>
      </c>
      <c r="K593" s="80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spans="1:26" ht="15.75" customHeight="1" x14ac:dyDescent="0.25">
      <c r="A594" s="62"/>
      <c r="B594" s="62"/>
      <c r="C594" s="76"/>
      <c r="D594" s="77"/>
      <c r="E594" s="62"/>
      <c r="F594" s="83" t="str">
        <f t="shared" si="23"/>
        <v/>
      </c>
      <c r="G594" s="84" t="str">
        <f t="shared" si="24"/>
        <v/>
      </c>
      <c r="H594" s="84" t="str">
        <f t="shared" si="25"/>
        <v/>
      </c>
      <c r="I594" s="84" t="str">
        <f t="shared" si="26"/>
        <v/>
      </c>
      <c r="J594" s="84" t="str">
        <f t="shared" si="27"/>
        <v/>
      </c>
      <c r="K594" s="80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spans="1:26" ht="15.75" customHeight="1" x14ac:dyDescent="0.25">
      <c r="A595" s="62"/>
      <c r="B595" s="62"/>
      <c r="C595" s="76"/>
      <c r="D595" s="77"/>
      <c r="E595" s="62"/>
      <c r="F595" s="83" t="str">
        <f t="shared" si="23"/>
        <v/>
      </c>
      <c r="G595" s="84" t="str">
        <f t="shared" si="24"/>
        <v/>
      </c>
      <c r="H595" s="84" t="str">
        <f t="shared" si="25"/>
        <v/>
      </c>
      <c r="I595" s="84" t="str">
        <f t="shared" si="26"/>
        <v/>
      </c>
      <c r="J595" s="84" t="str">
        <f t="shared" si="27"/>
        <v/>
      </c>
      <c r="K595" s="80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spans="1:26" ht="15.75" customHeight="1" x14ac:dyDescent="0.25">
      <c r="A596" s="62"/>
      <c r="B596" s="62"/>
      <c r="C596" s="76"/>
      <c r="D596" s="77"/>
      <c r="E596" s="62"/>
      <c r="F596" s="83" t="str">
        <f t="shared" si="23"/>
        <v/>
      </c>
      <c r="G596" s="84" t="str">
        <f t="shared" si="24"/>
        <v/>
      </c>
      <c r="H596" s="84" t="str">
        <f t="shared" si="25"/>
        <v/>
      </c>
      <c r="I596" s="84" t="str">
        <f t="shared" si="26"/>
        <v/>
      </c>
      <c r="J596" s="84" t="str">
        <f t="shared" si="27"/>
        <v/>
      </c>
      <c r="K596" s="80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spans="1:26" ht="15.75" customHeight="1" x14ac:dyDescent="0.25">
      <c r="A597" s="62"/>
      <c r="B597" s="62"/>
      <c r="C597" s="76"/>
      <c r="D597" s="77"/>
      <c r="E597" s="62"/>
      <c r="F597" s="83" t="str">
        <f t="shared" si="23"/>
        <v/>
      </c>
      <c r="G597" s="84" t="str">
        <f t="shared" si="24"/>
        <v/>
      </c>
      <c r="H597" s="84" t="str">
        <f t="shared" si="25"/>
        <v/>
      </c>
      <c r="I597" s="84" t="str">
        <f t="shared" si="26"/>
        <v/>
      </c>
      <c r="J597" s="84" t="str">
        <f t="shared" si="27"/>
        <v/>
      </c>
      <c r="K597" s="80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spans="1:26" ht="15.75" customHeight="1" x14ac:dyDescent="0.25">
      <c r="A598" s="62"/>
      <c r="B598" s="62"/>
      <c r="C598" s="76"/>
      <c r="D598" s="77"/>
      <c r="E598" s="62"/>
      <c r="F598" s="83" t="str">
        <f t="shared" si="23"/>
        <v/>
      </c>
      <c r="G598" s="84" t="str">
        <f t="shared" si="24"/>
        <v/>
      </c>
      <c r="H598" s="84" t="str">
        <f t="shared" si="25"/>
        <v/>
      </c>
      <c r="I598" s="84" t="str">
        <f t="shared" si="26"/>
        <v/>
      </c>
      <c r="J598" s="84" t="str">
        <f t="shared" si="27"/>
        <v/>
      </c>
      <c r="K598" s="80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spans="1:26" ht="15.75" customHeight="1" x14ac:dyDescent="0.25">
      <c r="A599" s="62"/>
      <c r="B599" s="62"/>
      <c r="C599" s="76"/>
      <c r="D599" s="77"/>
      <c r="E599" s="62"/>
      <c r="F599" s="83" t="str">
        <f t="shared" si="23"/>
        <v/>
      </c>
      <c r="G599" s="84" t="str">
        <f t="shared" si="24"/>
        <v/>
      </c>
      <c r="H599" s="84" t="str">
        <f t="shared" si="25"/>
        <v/>
      </c>
      <c r="I599" s="84" t="str">
        <f t="shared" si="26"/>
        <v/>
      </c>
      <c r="J599" s="84" t="str">
        <f t="shared" si="27"/>
        <v/>
      </c>
      <c r="K599" s="80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spans="1:26" ht="15.75" customHeight="1" x14ac:dyDescent="0.25">
      <c r="A600" s="62"/>
      <c r="B600" s="62"/>
      <c r="C600" s="76"/>
      <c r="D600" s="77"/>
      <c r="E600" s="62"/>
      <c r="F600" s="83" t="str">
        <f t="shared" si="23"/>
        <v/>
      </c>
      <c r="G600" s="84" t="str">
        <f t="shared" si="24"/>
        <v/>
      </c>
      <c r="H600" s="84" t="str">
        <f t="shared" si="25"/>
        <v/>
      </c>
      <c r="I600" s="84" t="str">
        <f t="shared" si="26"/>
        <v/>
      </c>
      <c r="J600" s="84" t="str">
        <f t="shared" si="27"/>
        <v/>
      </c>
      <c r="K600" s="80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spans="1:26" ht="15.75" customHeight="1" x14ac:dyDescent="0.25">
      <c r="A601" s="62"/>
      <c r="B601" s="62"/>
      <c r="C601" s="76"/>
      <c r="D601" s="77"/>
      <c r="E601" s="62"/>
      <c r="F601" s="83" t="str">
        <f t="shared" si="23"/>
        <v/>
      </c>
      <c r="G601" s="84" t="str">
        <f t="shared" si="24"/>
        <v/>
      </c>
      <c r="H601" s="84" t="str">
        <f t="shared" si="25"/>
        <v/>
      </c>
      <c r="I601" s="84" t="str">
        <f t="shared" si="26"/>
        <v/>
      </c>
      <c r="J601" s="84" t="str">
        <f t="shared" si="27"/>
        <v/>
      </c>
      <c r="K601" s="80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spans="1:26" ht="15.75" customHeight="1" x14ac:dyDescent="0.25">
      <c r="A602" s="62"/>
      <c r="B602" s="62"/>
      <c r="C602" s="76"/>
      <c r="D602" s="77"/>
      <c r="E602" s="62"/>
      <c r="F602" s="83" t="str">
        <f t="shared" si="23"/>
        <v/>
      </c>
      <c r="G602" s="84" t="str">
        <f t="shared" si="24"/>
        <v/>
      </c>
      <c r="H602" s="84" t="str">
        <f t="shared" si="25"/>
        <v/>
      </c>
      <c r="I602" s="84" t="str">
        <f t="shared" si="26"/>
        <v/>
      </c>
      <c r="J602" s="84" t="str">
        <f t="shared" si="27"/>
        <v/>
      </c>
      <c r="K602" s="80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spans="1:26" ht="15.75" customHeight="1" x14ac:dyDescent="0.25">
      <c r="A603" s="62"/>
      <c r="B603" s="62"/>
      <c r="C603" s="76"/>
      <c r="D603" s="77"/>
      <c r="E603" s="62"/>
      <c r="F603" s="83" t="str">
        <f t="shared" si="23"/>
        <v/>
      </c>
      <c r="G603" s="84" t="str">
        <f t="shared" si="24"/>
        <v/>
      </c>
      <c r="H603" s="84" t="str">
        <f t="shared" si="25"/>
        <v/>
      </c>
      <c r="I603" s="84" t="str">
        <f t="shared" si="26"/>
        <v/>
      </c>
      <c r="J603" s="84" t="str">
        <f t="shared" si="27"/>
        <v/>
      </c>
      <c r="K603" s="80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spans="1:26" ht="15.75" customHeight="1" x14ac:dyDescent="0.25">
      <c r="A604" s="62"/>
      <c r="B604" s="62"/>
      <c r="C604" s="76"/>
      <c r="D604" s="77"/>
      <c r="E604" s="62"/>
      <c r="F604" s="83" t="str">
        <f t="shared" si="23"/>
        <v/>
      </c>
      <c r="G604" s="84" t="str">
        <f t="shared" si="24"/>
        <v/>
      </c>
      <c r="H604" s="84" t="str">
        <f t="shared" si="25"/>
        <v/>
      </c>
      <c r="I604" s="84" t="str">
        <f t="shared" si="26"/>
        <v/>
      </c>
      <c r="J604" s="84" t="str">
        <f t="shared" si="27"/>
        <v/>
      </c>
      <c r="K604" s="80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spans="1:26" ht="15.75" customHeight="1" x14ac:dyDescent="0.25">
      <c r="A605" s="62"/>
      <c r="B605" s="62"/>
      <c r="C605" s="76"/>
      <c r="D605" s="77"/>
      <c r="E605" s="62"/>
      <c r="F605" s="83" t="str">
        <f t="shared" si="23"/>
        <v/>
      </c>
      <c r="G605" s="84" t="str">
        <f t="shared" si="24"/>
        <v/>
      </c>
      <c r="H605" s="84" t="str">
        <f t="shared" si="25"/>
        <v/>
      </c>
      <c r="I605" s="84" t="str">
        <f t="shared" si="26"/>
        <v/>
      </c>
      <c r="J605" s="84" t="str">
        <f t="shared" si="27"/>
        <v/>
      </c>
      <c r="K605" s="80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spans="1:26" ht="15.75" customHeight="1" x14ac:dyDescent="0.25">
      <c r="A606" s="62"/>
      <c r="B606" s="62"/>
      <c r="C606" s="76"/>
      <c r="D606" s="77"/>
      <c r="E606" s="62"/>
      <c r="F606" s="83" t="str">
        <f t="shared" si="23"/>
        <v/>
      </c>
      <c r="G606" s="84" t="str">
        <f t="shared" si="24"/>
        <v/>
      </c>
      <c r="H606" s="84" t="str">
        <f t="shared" si="25"/>
        <v/>
      </c>
      <c r="I606" s="84" t="str">
        <f t="shared" si="26"/>
        <v/>
      </c>
      <c r="J606" s="84" t="str">
        <f t="shared" si="27"/>
        <v/>
      </c>
      <c r="K606" s="80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spans="1:26" ht="15.75" customHeight="1" x14ac:dyDescent="0.25">
      <c r="A607" s="62"/>
      <c r="B607" s="62"/>
      <c r="C607" s="76"/>
      <c r="D607" s="77"/>
      <c r="E607" s="62"/>
      <c r="F607" s="83" t="str">
        <f t="shared" si="23"/>
        <v/>
      </c>
      <c r="G607" s="84" t="str">
        <f t="shared" si="24"/>
        <v/>
      </c>
      <c r="H607" s="84" t="str">
        <f t="shared" si="25"/>
        <v/>
      </c>
      <c r="I607" s="84" t="str">
        <f t="shared" si="26"/>
        <v/>
      </c>
      <c r="J607" s="84" t="str">
        <f t="shared" si="27"/>
        <v/>
      </c>
      <c r="K607" s="80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spans="1:26" ht="15.75" customHeight="1" x14ac:dyDescent="0.25">
      <c r="A608" s="62"/>
      <c r="B608" s="62"/>
      <c r="C608" s="76"/>
      <c r="D608" s="77"/>
      <c r="E608" s="62"/>
      <c r="F608" s="83" t="str">
        <f t="shared" si="23"/>
        <v/>
      </c>
      <c r="G608" s="84" t="str">
        <f t="shared" si="24"/>
        <v/>
      </c>
      <c r="H608" s="84" t="str">
        <f t="shared" si="25"/>
        <v/>
      </c>
      <c r="I608" s="84" t="str">
        <f t="shared" si="26"/>
        <v/>
      </c>
      <c r="J608" s="84" t="str">
        <f t="shared" si="27"/>
        <v/>
      </c>
      <c r="K608" s="80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spans="1:26" ht="15.75" customHeight="1" x14ac:dyDescent="0.25">
      <c r="A609" s="62"/>
      <c r="B609" s="62"/>
      <c r="C609" s="76"/>
      <c r="D609" s="77"/>
      <c r="E609" s="62"/>
      <c r="F609" s="83" t="str">
        <f t="shared" si="23"/>
        <v/>
      </c>
      <c r="G609" s="84" t="str">
        <f t="shared" si="24"/>
        <v/>
      </c>
      <c r="H609" s="84" t="str">
        <f t="shared" si="25"/>
        <v/>
      </c>
      <c r="I609" s="84" t="str">
        <f t="shared" si="26"/>
        <v/>
      </c>
      <c r="J609" s="84" t="str">
        <f t="shared" si="27"/>
        <v/>
      </c>
      <c r="K609" s="80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spans="1:26" ht="15.75" customHeight="1" x14ac:dyDescent="0.25">
      <c r="A610" s="62"/>
      <c r="B610" s="62"/>
      <c r="C610" s="76"/>
      <c r="D610" s="77"/>
      <c r="E610" s="62"/>
      <c r="F610" s="83" t="str">
        <f t="shared" si="23"/>
        <v/>
      </c>
      <c r="G610" s="84" t="str">
        <f t="shared" si="24"/>
        <v/>
      </c>
      <c r="H610" s="84" t="str">
        <f t="shared" si="25"/>
        <v/>
      </c>
      <c r="I610" s="84" t="str">
        <f t="shared" si="26"/>
        <v/>
      </c>
      <c r="J610" s="84" t="str">
        <f t="shared" si="27"/>
        <v/>
      </c>
      <c r="K610" s="80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spans="1:26" ht="15.75" customHeight="1" x14ac:dyDescent="0.25">
      <c r="A611" s="62"/>
      <c r="B611" s="62"/>
      <c r="C611" s="76"/>
      <c r="D611" s="77"/>
      <c r="E611" s="62"/>
      <c r="F611" s="83" t="str">
        <f t="shared" si="23"/>
        <v/>
      </c>
      <c r="G611" s="84" t="str">
        <f t="shared" si="24"/>
        <v/>
      </c>
      <c r="H611" s="84" t="str">
        <f t="shared" si="25"/>
        <v/>
      </c>
      <c r="I611" s="84" t="str">
        <f t="shared" si="26"/>
        <v/>
      </c>
      <c r="J611" s="84" t="str">
        <f t="shared" si="27"/>
        <v/>
      </c>
      <c r="K611" s="80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spans="1:26" ht="15.75" customHeight="1" x14ac:dyDescent="0.25">
      <c r="A612" s="62"/>
      <c r="B612" s="62"/>
      <c r="C612" s="76"/>
      <c r="D612" s="77"/>
      <c r="E612" s="62"/>
      <c r="F612" s="83" t="str">
        <f t="shared" si="23"/>
        <v/>
      </c>
      <c r="G612" s="84" t="str">
        <f t="shared" si="24"/>
        <v/>
      </c>
      <c r="H612" s="84" t="str">
        <f t="shared" si="25"/>
        <v/>
      </c>
      <c r="I612" s="84" t="str">
        <f t="shared" si="26"/>
        <v/>
      </c>
      <c r="J612" s="84" t="str">
        <f t="shared" si="27"/>
        <v/>
      </c>
      <c r="K612" s="80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spans="1:26" ht="15.75" customHeight="1" x14ac:dyDescent="0.25">
      <c r="A613" s="62"/>
      <c r="B613" s="62"/>
      <c r="C613" s="76"/>
      <c r="D613" s="77"/>
      <c r="E613" s="62"/>
      <c r="F613" s="83" t="str">
        <f t="shared" si="23"/>
        <v/>
      </c>
      <c r="G613" s="84" t="str">
        <f t="shared" si="24"/>
        <v/>
      </c>
      <c r="H613" s="84" t="str">
        <f t="shared" si="25"/>
        <v/>
      </c>
      <c r="I613" s="84" t="str">
        <f t="shared" si="26"/>
        <v/>
      </c>
      <c r="J613" s="84" t="str">
        <f t="shared" si="27"/>
        <v/>
      </c>
      <c r="K613" s="80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spans="1:26" ht="15.75" customHeight="1" x14ac:dyDescent="0.25">
      <c r="A614" s="62"/>
      <c r="B614" s="62"/>
      <c r="C614" s="76"/>
      <c r="D614" s="77"/>
      <c r="E614" s="62"/>
      <c r="F614" s="83" t="str">
        <f t="shared" si="23"/>
        <v/>
      </c>
      <c r="G614" s="84" t="str">
        <f t="shared" si="24"/>
        <v/>
      </c>
      <c r="H614" s="84" t="str">
        <f t="shared" si="25"/>
        <v/>
      </c>
      <c r="I614" s="84" t="str">
        <f t="shared" si="26"/>
        <v/>
      </c>
      <c r="J614" s="84" t="str">
        <f t="shared" si="27"/>
        <v/>
      </c>
      <c r="K614" s="80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spans="1:26" ht="15.75" customHeight="1" x14ac:dyDescent="0.25">
      <c r="A615" s="62"/>
      <c r="B615" s="62"/>
      <c r="C615" s="76"/>
      <c r="D615" s="77"/>
      <c r="E615" s="62"/>
      <c r="F615" s="83" t="str">
        <f t="shared" si="23"/>
        <v/>
      </c>
      <c r="G615" s="84" t="str">
        <f t="shared" si="24"/>
        <v/>
      </c>
      <c r="H615" s="84" t="str">
        <f t="shared" si="25"/>
        <v/>
      </c>
      <c r="I615" s="84" t="str">
        <f t="shared" si="26"/>
        <v/>
      </c>
      <c r="J615" s="84" t="str">
        <f t="shared" si="27"/>
        <v/>
      </c>
      <c r="K615" s="80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spans="1:26" ht="15.75" customHeight="1" x14ac:dyDescent="0.25">
      <c r="A616" s="62"/>
      <c r="B616" s="62"/>
      <c r="C616" s="76"/>
      <c r="D616" s="77"/>
      <c r="E616" s="62"/>
      <c r="F616" s="83" t="str">
        <f t="shared" si="23"/>
        <v/>
      </c>
      <c r="G616" s="84" t="str">
        <f t="shared" si="24"/>
        <v/>
      </c>
      <c r="H616" s="84" t="str">
        <f t="shared" si="25"/>
        <v/>
      </c>
      <c r="I616" s="84" t="str">
        <f t="shared" si="26"/>
        <v/>
      </c>
      <c r="J616" s="84" t="str">
        <f t="shared" si="27"/>
        <v/>
      </c>
      <c r="K616" s="80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spans="1:26" ht="15.75" customHeight="1" x14ac:dyDescent="0.25">
      <c r="A617" s="62"/>
      <c r="B617" s="62"/>
      <c r="C617" s="76"/>
      <c r="D617" s="77"/>
      <c r="E617" s="62"/>
      <c r="F617" s="83" t="str">
        <f t="shared" si="23"/>
        <v/>
      </c>
      <c r="G617" s="84" t="str">
        <f t="shared" si="24"/>
        <v/>
      </c>
      <c r="H617" s="84" t="str">
        <f t="shared" si="25"/>
        <v/>
      </c>
      <c r="I617" s="84" t="str">
        <f t="shared" si="26"/>
        <v/>
      </c>
      <c r="J617" s="84" t="str">
        <f t="shared" si="27"/>
        <v/>
      </c>
      <c r="K617" s="80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spans="1:26" ht="15.75" customHeight="1" x14ac:dyDescent="0.25">
      <c r="A618" s="62"/>
      <c r="B618" s="62"/>
      <c r="C618" s="76"/>
      <c r="D618" s="77"/>
      <c r="E618" s="62"/>
      <c r="F618" s="83" t="str">
        <f t="shared" si="23"/>
        <v/>
      </c>
      <c r="G618" s="84" t="str">
        <f t="shared" si="24"/>
        <v/>
      </c>
      <c r="H618" s="84" t="str">
        <f t="shared" si="25"/>
        <v/>
      </c>
      <c r="I618" s="84" t="str">
        <f t="shared" si="26"/>
        <v/>
      </c>
      <c r="J618" s="84" t="str">
        <f t="shared" si="27"/>
        <v/>
      </c>
      <c r="K618" s="80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spans="1:26" ht="15.75" customHeight="1" x14ac:dyDescent="0.25">
      <c r="A619" s="62"/>
      <c r="B619" s="62"/>
      <c r="C619" s="76"/>
      <c r="D619" s="77"/>
      <c r="E619" s="62"/>
      <c r="F619" s="83" t="str">
        <f t="shared" si="23"/>
        <v/>
      </c>
      <c r="G619" s="84" t="str">
        <f t="shared" si="24"/>
        <v/>
      </c>
      <c r="H619" s="84" t="str">
        <f t="shared" si="25"/>
        <v/>
      </c>
      <c r="I619" s="84" t="str">
        <f t="shared" si="26"/>
        <v/>
      </c>
      <c r="J619" s="84" t="str">
        <f t="shared" si="27"/>
        <v/>
      </c>
      <c r="K619" s="80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spans="1:26" ht="15.75" customHeight="1" x14ac:dyDescent="0.25">
      <c r="A620" s="62"/>
      <c r="B620" s="62"/>
      <c r="C620" s="76"/>
      <c r="D620" s="77"/>
      <c r="E620" s="62"/>
      <c r="F620" s="83" t="str">
        <f t="shared" si="23"/>
        <v/>
      </c>
      <c r="G620" s="84" t="str">
        <f t="shared" si="24"/>
        <v/>
      </c>
      <c r="H620" s="84" t="str">
        <f t="shared" si="25"/>
        <v/>
      </c>
      <c r="I620" s="84" t="str">
        <f t="shared" si="26"/>
        <v/>
      </c>
      <c r="J620" s="84" t="str">
        <f t="shared" si="27"/>
        <v/>
      </c>
      <c r="K620" s="80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spans="1:26" ht="15.75" customHeight="1" x14ac:dyDescent="0.25">
      <c r="A621" s="62"/>
      <c r="B621" s="62"/>
      <c r="C621" s="76"/>
      <c r="D621" s="77"/>
      <c r="E621" s="62"/>
      <c r="F621" s="83" t="str">
        <f t="shared" si="23"/>
        <v/>
      </c>
      <c r="G621" s="84" t="str">
        <f t="shared" si="24"/>
        <v/>
      </c>
      <c r="H621" s="84" t="str">
        <f t="shared" si="25"/>
        <v/>
      </c>
      <c r="I621" s="84" t="str">
        <f t="shared" si="26"/>
        <v/>
      </c>
      <c r="J621" s="84" t="str">
        <f t="shared" si="27"/>
        <v/>
      </c>
      <c r="K621" s="80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spans="1:26" ht="15.75" customHeight="1" x14ac:dyDescent="0.25">
      <c r="A622" s="62"/>
      <c r="B622" s="62"/>
      <c r="C622" s="76"/>
      <c r="D622" s="77"/>
      <c r="E622" s="62"/>
      <c r="F622" s="83" t="str">
        <f t="shared" si="23"/>
        <v/>
      </c>
      <c r="G622" s="84" t="str">
        <f t="shared" si="24"/>
        <v/>
      </c>
      <c r="H622" s="84" t="str">
        <f t="shared" si="25"/>
        <v/>
      </c>
      <c r="I622" s="84" t="str">
        <f t="shared" si="26"/>
        <v/>
      </c>
      <c r="J622" s="84" t="str">
        <f t="shared" si="27"/>
        <v/>
      </c>
      <c r="K622" s="80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spans="1:26" ht="15.75" customHeight="1" x14ac:dyDescent="0.25">
      <c r="A623" s="62"/>
      <c r="B623" s="62"/>
      <c r="C623" s="76"/>
      <c r="D623" s="77"/>
      <c r="E623" s="62"/>
      <c r="F623" s="83" t="str">
        <f t="shared" si="23"/>
        <v/>
      </c>
      <c r="G623" s="84" t="str">
        <f t="shared" si="24"/>
        <v/>
      </c>
      <c r="H623" s="84" t="str">
        <f t="shared" si="25"/>
        <v/>
      </c>
      <c r="I623" s="84" t="str">
        <f t="shared" si="26"/>
        <v/>
      </c>
      <c r="J623" s="84" t="str">
        <f t="shared" si="27"/>
        <v/>
      </c>
      <c r="K623" s="80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spans="1:26" ht="15.75" customHeight="1" x14ac:dyDescent="0.25">
      <c r="A624" s="62"/>
      <c r="B624" s="62"/>
      <c r="C624" s="76"/>
      <c r="D624" s="77"/>
      <c r="E624" s="62"/>
      <c r="F624" s="83" t="str">
        <f t="shared" si="23"/>
        <v/>
      </c>
      <c r="G624" s="84" t="str">
        <f t="shared" si="24"/>
        <v/>
      </c>
      <c r="H624" s="84" t="str">
        <f t="shared" si="25"/>
        <v/>
      </c>
      <c r="I624" s="84" t="str">
        <f t="shared" si="26"/>
        <v/>
      </c>
      <c r="J624" s="84" t="str">
        <f t="shared" si="27"/>
        <v/>
      </c>
      <c r="K624" s="80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spans="1:26" ht="15.75" customHeight="1" x14ac:dyDescent="0.25">
      <c r="A625" s="62"/>
      <c r="B625" s="62"/>
      <c r="C625" s="76"/>
      <c r="D625" s="77"/>
      <c r="E625" s="62"/>
      <c r="F625" s="83" t="str">
        <f t="shared" si="23"/>
        <v/>
      </c>
      <c r="G625" s="84" t="str">
        <f t="shared" si="24"/>
        <v/>
      </c>
      <c r="H625" s="84" t="str">
        <f t="shared" si="25"/>
        <v/>
      </c>
      <c r="I625" s="84" t="str">
        <f t="shared" si="26"/>
        <v/>
      </c>
      <c r="J625" s="84" t="str">
        <f t="shared" si="27"/>
        <v/>
      </c>
      <c r="K625" s="80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spans="1:26" ht="15.75" customHeight="1" x14ac:dyDescent="0.25">
      <c r="A626" s="62"/>
      <c r="B626" s="62"/>
      <c r="C626" s="76"/>
      <c r="D626" s="77"/>
      <c r="E626" s="62"/>
      <c r="F626" s="83" t="str">
        <f t="shared" si="23"/>
        <v/>
      </c>
      <c r="G626" s="84" t="str">
        <f t="shared" si="24"/>
        <v/>
      </c>
      <c r="H626" s="84" t="str">
        <f t="shared" si="25"/>
        <v/>
      </c>
      <c r="I626" s="84" t="str">
        <f t="shared" si="26"/>
        <v/>
      </c>
      <c r="J626" s="84" t="str">
        <f t="shared" si="27"/>
        <v/>
      </c>
      <c r="K626" s="80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spans="1:26" ht="15.75" customHeight="1" x14ac:dyDescent="0.25">
      <c r="A627" s="62"/>
      <c r="B627" s="62"/>
      <c r="C627" s="76"/>
      <c r="D627" s="77"/>
      <c r="E627" s="62"/>
      <c r="F627" s="83" t="str">
        <f t="shared" si="23"/>
        <v/>
      </c>
      <c r="G627" s="84" t="str">
        <f t="shared" si="24"/>
        <v/>
      </c>
      <c r="H627" s="84" t="str">
        <f t="shared" si="25"/>
        <v/>
      </c>
      <c r="I627" s="84" t="str">
        <f t="shared" si="26"/>
        <v/>
      </c>
      <c r="J627" s="84" t="str">
        <f t="shared" si="27"/>
        <v/>
      </c>
      <c r="K627" s="80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spans="1:26" ht="15.75" customHeight="1" x14ac:dyDescent="0.25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ed" si="24"/>
        <v/>
      </c>
      <c r="H628" s="84" t="str">
        <f t="shared" si="25"/>
        <v/>
      </c>
      <c r="I628" s="84" t="str">
        <f t="shared" si="26"/>
        <v/>
      </c>
      <c r="J628" s="84" t="str">
        <f t="shared" si="27"/>
        <v/>
      </c>
      <c r="K628" s="80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spans="1:26" ht="15.75" customHeight="1" x14ac:dyDescent="0.25">
      <c r="A629" s="62"/>
      <c r="B629" s="62"/>
      <c r="C629" s="76"/>
      <c r="D629" s="77"/>
      <c r="E629" s="62"/>
      <c r="F629" s="83" t="str">
        <f t="shared" si="23"/>
        <v/>
      </c>
      <c r="G629" s="84" t="str">
        <f t="shared" si="24"/>
        <v/>
      </c>
      <c r="H629" s="84" t="str">
        <f t="shared" si="25"/>
        <v/>
      </c>
      <c r="I629" s="84" t="str">
        <f t="shared" si="26"/>
        <v/>
      </c>
      <c r="J629" s="84" t="str">
        <f t="shared" si="27"/>
        <v/>
      </c>
      <c r="K629" s="80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spans="1:26" ht="15.75" customHeight="1" x14ac:dyDescent="0.25">
      <c r="A630" s="62"/>
      <c r="B630" s="62"/>
      <c r="C630" s="76"/>
      <c r="D630" s="77"/>
      <c r="E630" s="62"/>
      <c r="F630" s="83" t="str">
        <f t="shared" si="23"/>
        <v/>
      </c>
      <c r="G630" s="84" t="str">
        <f t="shared" si="24"/>
        <v/>
      </c>
      <c r="H630" s="84" t="str">
        <f t="shared" si="25"/>
        <v/>
      </c>
      <c r="I630" s="84" t="str">
        <f t="shared" si="26"/>
        <v/>
      </c>
      <c r="J630" s="84" t="str">
        <f t="shared" si="27"/>
        <v/>
      </c>
      <c r="K630" s="80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spans="1:26" ht="15.75" customHeight="1" x14ac:dyDescent="0.25">
      <c r="A631" s="62"/>
      <c r="B631" s="62"/>
      <c r="C631" s="76"/>
      <c r="D631" s="77"/>
      <c r="E631" s="62"/>
      <c r="F631" s="83" t="str">
        <f t="shared" si="23"/>
        <v/>
      </c>
      <c r="G631" s="84" t="str">
        <f t="shared" si="24"/>
        <v/>
      </c>
      <c r="H631" s="84" t="str">
        <f t="shared" si="25"/>
        <v/>
      </c>
      <c r="I631" s="84" t="str">
        <f t="shared" si="26"/>
        <v/>
      </c>
      <c r="J631" s="84" t="str">
        <f t="shared" si="27"/>
        <v/>
      </c>
      <c r="K631" s="80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spans="1:26" ht="15.75" customHeight="1" x14ac:dyDescent="0.25">
      <c r="A632" s="62"/>
      <c r="B632" s="62"/>
      <c r="C632" s="76"/>
      <c r="D632" s="77"/>
      <c r="E632" s="62"/>
      <c r="F632" s="83" t="str">
        <f t="shared" si="23"/>
        <v/>
      </c>
      <c r="G632" s="84" t="str">
        <f t="shared" si="24"/>
        <v/>
      </c>
      <c r="H632" s="84" t="str">
        <f t="shared" si="25"/>
        <v/>
      </c>
      <c r="I632" s="84" t="str">
        <f t="shared" si="26"/>
        <v/>
      </c>
      <c r="J632" s="84" t="str">
        <f t="shared" si="27"/>
        <v/>
      </c>
      <c r="K632" s="80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spans="1:26" ht="15.75" customHeight="1" x14ac:dyDescent="0.25">
      <c r="A633" s="62"/>
      <c r="B633" s="62"/>
      <c r="C633" s="76"/>
      <c r="D633" s="77"/>
      <c r="E633" s="62"/>
      <c r="F633" s="62"/>
      <c r="G633" s="76"/>
      <c r="H633" s="76"/>
      <c r="I633" s="76"/>
      <c r="J633" s="76"/>
      <c r="K633" s="76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spans="1:26" ht="15.75" customHeight="1" x14ac:dyDescent="0.25">
      <c r="A634" s="62"/>
      <c r="B634" s="62"/>
      <c r="C634" s="76"/>
      <c r="D634" s="77"/>
      <c r="E634" s="62"/>
      <c r="F634" s="62"/>
      <c r="G634" s="76"/>
      <c r="H634" s="76"/>
      <c r="I634" s="76"/>
      <c r="J634" s="76"/>
      <c r="K634" s="76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spans="1:26" ht="15.75" customHeight="1" x14ac:dyDescent="0.25">
      <c r="A635" s="62"/>
      <c r="B635" s="62"/>
      <c r="C635" s="76"/>
      <c r="D635" s="77"/>
      <c r="E635" s="62"/>
      <c r="F635" s="62"/>
      <c r="G635" s="76"/>
      <c r="H635" s="76"/>
      <c r="I635" s="76"/>
      <c r="J635" s="76"/>
      <c r="K635" s="76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spans="1:26" ht="15.75" customHeight="1" x14ac:dyDescent="0.25">
      <c r="A636" s="62"/>
      <c r="B636" s="62"/>
      <c r="C636" s="76"/>
      <c r="D636" s="77"/>
      <c r="E636" s="62"/>
      <c r="F636" s="62"/>
      <c r="G636" s="76"/>
      <c r="H636" s="76"/>
      <c r="I636" s="76"/>
      <c r="J636" s="76"/>
      <c r="K636" s="76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spans="1:26" ht="15.75" customHeight="1" x14ac:dyDescent="0.25">
      <c r="A637" s="62"/>
      <c r="B637" s="62"/>
      <c r="C637" s="76"/>
      <c r="D637" s="77"/>
      <c r="E637" s="62"/>
      <c r="F637" s="62"/>
      <c r="G637" s="76"/>
      <c r="H637" s="76"/>
      <c r="I637" s="76"/>
      <c r="J637" s="76"/>
      <c r="K637" s="76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spans="1:26" ht="15.75" customHeight="1" x14ac:dyDescent="0.25">
      <c r="A638" s="62"/>
      <c r="B638" s="62"/>
      <c r="C638" s="76"/>
      <c r="D638" s="77"/>
      <c r="E638" s="62"/>
      <c r="F638" s="62"/>
      <c r="G638" s="76"/>
      <c r="H638" s="76"/>
      <c r="I638" s="76"/>
      <c r="J638" s="76"/>
      <c r="K638" s="76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spans="1:26" ht="15.75" customHeight="1" x14ac:dyDescent="0.25">
      <c r="A639" s="62"/>
      <c r="B639" s="62"/>
      <c r="C639" s="76"/>
      <c r="D639" s="77"/>
      <c r="E639" s="62"/>
      <c r="F639" s="62"/>
      <c r="G639" s="76"/>
      <c r="H639" s="76"/>
      <c r="I639" s="76"/>
      <c r="J639" s="76"/>
      <c r="K639" s="76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spans="1:26" ht="15.75" customHeight="1" x14ac:dyDescent="0.25">
      <c r="A640" s="62"/>
      <c r="B640" s="62"/>
      <c r="C640" s="76"/>
      <c r="D640" s="77"/>
      <c r="E640" s="62"/>
      <c r="F640" s="62"/>
      <c r="G640" s="76"/>
      <c r="H640" s="76"/>
      <c r="I640" s="76"/>
      <c r="J640" s="76"/>
      <c r="K640" s="76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spans="1:26" ht="15.75" customHeight="1" x14ac:dyDescent="0.25">
      <c r="A641" s="62"/>
      <c r="B641" s="62"/>
      <c r="C641" s="76"/>
      <c r="D641" s="77"/>
      <c r="E641" s="62"/>
      <c r="F641" s="62"/>
      <c r="G641" s="76"/>
      <c r="H641" s="76"/>
      <c r="I641" s="76"/>
      <c r="J641" s="76"/>
      <c r="K641" s="76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spans="1:26" ht="15.75" customHeight="1" x14ac:dyDescent="0.25">
      <c r="A642" s="62"/>
      <c r="B642" s="62"/>
      <c r="C642" s="76"/>
      <c r="D642" s="77"/>
      <c r="E642" s="62"/>
      <c r="F642" s="62"/>
      <c r="G642" s="76"/>
      <c r="H642" s="76"/>
      <c r="I642" s="76"/>
      <c r="J642" s="76"/>
      <c r="K642" s="76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spans="1:26" ht="15.75" customHeight="1" x14ac:dyDescent="0.25">
      <c r="A643" s="62"/>
      <c r="B643" s="62"/>
      <c r="C643" s="76"/>
      <c r="D643" s="77"/>
      <c r="E643" s="62"/>
      <c r="F643" s="62"/>
      <c r="G643" s="76"/>
      <c r="H643" s="76"/>
      <c r="I643" s="76"/>
      <c r="J643" s="76"/>
      <c r="K643" s="76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spans="1:26" ht="15.75" customHeight="1" x14ac:dyDescent="0.25">
      <c r="A644" s="62"/>
      <c r="B644" s="62"/>
      <c r="C644" s="76"/>
      <c r="D644" s="77"/>
      <c r="E644" s="62"/>
      <c r="F644" s="62"/>
      <c r="G644" s="76"/>
      <c r="H644" s="76"/>
      <c r="I644" s="76"/>
      <c r="J644" s="76"/>
      <c r="K644" s="76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spans="1:26" ht="15.75" customHeight="1" x14ac:dyDescent="0.25">
      <c r="A645" s="62"/>
      <c r="B645" s="62"/>
      <c r="C645" s="76"/>
      <c r="D645" s="77"/>
      <c r="E645" s="62"/>
      <c r="F645" s="62"/>
      <c r="G645" s="76"/>
      <c r="H645" s="76"/>
      <c r="I645" s="76"/>
      <c r="J645" s="76"/>
      <c r="K645" s="76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spans="1:26" ht="15.75" customHeight="1" x14ac:dyDescent="0.25">
      <c r="A646" s="62"/>
      <c r="B646" s="62"/>
      <c r="C646" s="76"/>
      <c r="D646" s="77"/>
      <c r="E646" s="62"/>
      <c r="F646" s="62"/>
      <c r="G646" s="76"/>
      <c r="H646" s="76"/>
      <c r="I646" s="76"/>
      <c r="J646" s="76"/>
      <c r="K646" s="76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spans="1:26" ht="15.75" customHeight="1" x14ac:dyDescent="0.25">
      <c r="A647" s="62"/>
      <c r="B647" s="62"/>
      <c r="C647" s="76"/>
      <c r="D647" s="77"/>
      <c r="E647" s="62"/>
      <c r="F647" s="62"/>
      <c r="G647" s="76"/>
      <c r="H647" s="76"/>
      <c r="I647" s="76"/>
      <c r="J647" s="76"/>
      <c r="K647" s="76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spans="1:26" ht="15.75" customHeight="1" x14ac:dyDescent="0.25">
      <c r="A648" s="62"/>
      <c r="B648" s="62"/>
      <c r="C648" s="76"/>
      <c r="D648" s="77"/>
      <c r="E648" s="62"/>
      <c r="F648" s="62"/>
      <c r="G648" s="76"/>
      <c r="H648" s="76"/>
      <c r="I648" s="76"/>
      <c r="J648" s="76"/>
      <c r="K648" s="76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spans="1:26" ht="15.75" customHeight="1" x14ac:dyDescent="0.25">
      <c r="A649" s="62"/>
      <c r="B649" s="62"/>
      <c r="C649" s="76"/>
      <c r="D649" s="77"/>
      <c r="E649" s="62"/>
      <c r="F649" s="62"/>
      <c r="G649" s="76"/>
      <c r="H649" s="76"/>
      <c r="I649" s="76"/>
      <c r="J649" s="76"/>
      <c r="K649" s="76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spans="1:26" ht="15.75" customHeight="1" x14ac:dyDescent="0.25">
      <c r="A650" s="62"/>
      <c r="B650" s="62"/>
      <c r="C650" s="76"/>
      <c r="D650" s="77"/>
      <c r="E650" s="62"/>
      <c r="F650" s="62"/>
      <c r="G650" s="76"/>
      <c r="H650" s="76"/>
      <c r="I650" s="76"/>
      <c r="J650" s="76"/>
      <c r="K650" s="76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spans="1:26" ht="15.75" customHeight="1" x14ac:dyDescent="0.25">
      <c r="A651" s="62"/>
      <c r="B651" s="62"/>
      <c r="C651" s="76"/>
      <c r="D651" s="77"/>
      <c r="E651" s="62"/>
      <c r="F651" s="62"/>
      <c r="G651" s="76"/>
      <c r="H651" s="76"/>
      <c r="I651" s="76"/>
      <c r="J651" s="76"/>
      <c r="K651" s="76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spans="1:26" ht="15.75" customHeight="1" x14ac:dyDescent="0.25">
      <c r="A652" s="62"/>
      <c r="B652" s="62"/>
      <c r="C652" s="76"/>
      <c r="D652" s="77"/>
      <c r="E652" s="62"/>
      <c r="F652" s="62"/>
      <c r="G652" s="76"/>
      <c r="H652" s="76"/>
      <c r="I652" s="76"/>
      <c r="J652" s="76"/>
      <c r="K652" s="76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spans="1:26" ht="15.75" customHeight="1" x14ac:dyDescent="0.25">
      <c r="A653" s="62"/>
      <c r="B653" s="62"/>
      <c r="C653" s="76"/>
      <c r="D653" s="77"/>
      <c r="E653" s="62"/>
      <c r="F653" s="62"/>
      <c r="G653" s="76"/>
      <c r="H653" s="76"/>
      <c r="I653" s="76"/>
      <c r="J653" s="76"/>
      <c r="K653" s="76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spans="1:26" ht="15.75" customHeight="1" x14ac:dyDescent="0.25">
      <c r="A654" s="62"/>
      <c r="B654" s="62"/>
      <c r="C654" s="76"/>
      <c r="D654" s="77"/>
      <c r="E654" s="62"/>
      <c r="F654" s="62"/>
      <c r="G654" s="76"/>
      <c r="H654" s="76"/>
      <c r="I654" s="76"/>
      <c r="J654" s="76"/>
      <c r="K654" s="76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spans="1:26" ht="15.75" customHeight="1" x14ac:dyDescent="0.25">
      <c r="A655" s="62"/>
      <c r="B655" s="62"/>
      <c r="C655" s="76"/>
      <c r="D655" s="77"/>
      <c r="E655" s="62"/>
      <c r="F655" s="62"/>
      <c r="G655" s="76"/>
      <c r="H655" s="76"/>
      <c r="I655" s="76"/>
      <c r="J655" s="76"/>
      <c r="K655" s="76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spans="1:26" ht="15.75" customHeight="1" x14ac:dyDescent="0.25">
      <c r="A656" s="62"/>
      <c r="B656" s="62"/>
      <c r="C656" s="76"/>
      <c r="D656" s="77"/>
      <c r="E656" s="62"/>
      <c r="F656" s="62"/>
      <c r="G656" s="76"/>
      <c r="H656" s="76"/>
      <c r="I656" s="76"/>
      <c r="J656" s="76"/>
      <c r="K656" s="76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spans="1:26" ht="15.75" customHeight="1" x14ac:dyDescent="0.25">
      <c r="A657" s="62"/>
      <c r="B657" s="62"/>
      <c r="C657" s="76"/>
      <c r="D657" s="77"/>
      <c r="E657" s="62"/>
      <c r="F657" s="62"/>
      <c r="G657" s="76"/>
      <c r="H657" s="76"/>
      <c r="I657" s="76"/>
      <c r="J657" s="76"/>
      <c r="K657" s="76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spans="1:26" ht="15.75" customHeight="1" x14ac:dyDescent="0.25">
      <c r="A658" s="62"/>
      <c r="B658" s="62"/>
      <c r="C658" s="76"/>
      <c r="D658" s="77"/>
      <c r="E658" s="62"/>
      <c r="F658" s="62"/>
      <c r="G658" s="76"/>
      <c r="H658" s="76"/>
      <c r="I658" s="76"/>
      <c r="J658" s="76"/>
      <c r="K658" s="76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spans="1:26" ht="15.75" customHeight="1" x14ac:dyDescent="0.25">
      <c r="A659" s="62"/>
      <c r="B659" s="62"/>
      <c r="C659" s="76"/>
      <c r="D659" s="77"/>
      <c r="E659" s="62"/>
      <c r="F659" s="62"/>
      <c r="G659" s="76"/>
      <c r="H659" s="76"/>
      <c r="I659" s="76"/>
      <c r="J659" s="76"/>
      <c r="K659" s="76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spans="1:26" ht="15.75" customHeight="1" x14ac:dyDescent="0.25">
      <c r="A660" s="62"/>
      <c r="B660" s="62"/>
      <c r="C660" s="76"/>
      <c r="D660" s="77"/>
      <c r="E660" s="62"/>
      <c r="F660" s="62"/>
      <c r="G660" s="76"/>
      <c r="H660" s="76"/>
      <c r="I660" s="76"/>
      <c r="J660" s="76"/>
      <c r="K660" s="76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spans="1:26" ht="15.75" customHeight="1" x14ac:dyDescent="0.25">
      <c r="A661" s="62"/>
      <c r="B661" s="62"/>
      <c r="C661" s="76"/>
      <c r="D661" s="77"/>
      <c r="E661" s="62"/>
      <c r="F661" s="62"/>
      <c r="G661" s="76"/>
      <c r="H661" s="76"/>
      <c r="I661" s="76"/>
      <c r="J661" s="76"/>
      <c r="K661" s="76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spans="1:26" ht="15.75" customHeight="1" x14ac:dyDescent="0.25">
      <c r="A662" s="62"/>
      <c r="B662" s="62"/>
      <c r="C662" s="76"/>
      <c r="D662" s="77"/>
      <c r="E662" s="62"/>
      <c r="F662" s="62"/>
      <c r="G662" s="76"/>
      <c r="H662" s="76"/>
      <c r="I662" s="76"/>
      <c r="J662" s="76"/>
      <c r="K662" s="76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spans="1:26" ht="15.75" customHeight="1" x14ac:dyDescent="0.25">
      <c r="A663" s="62"/>
      <c r="B663" s="62"/>
      <c r="C663" s="76"/>
      <c r="D663" s="77"/>
      <c r="E663" s="62"/>
      <c r="F663" s="62"/>
      <c r="G663" s="76"/>
      <c r="H663" s="76"/>
      <c r="I663" s="76"/>
      <c r="J663" s="76"/>
      <c r="K663" s="76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spans="1:26" ht="15.75" customHeight="1" x14ac:dyDescent="0.25">
      <c r="A664" s="62"/>
      <c r="B664" s="62"/>
      <c r="C664" s="76"/>
      <c r="D664" s="77"/>
      <c r="E664" s="62"/>
      <c r="F664" s="62"/>
      <c r="G664" s="76"/>
      <c r="H664" s="76"/>
      <c r="I664" s="76"/>
      <c r="J664" s="76"/>
      <c r="K664" s="76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spans="1:26" ht="15.75" customHeight="1" x14ac:dyDescent="0.25">
      <c r="A665" s="62"/>
      <c r="B665" s="62"/>
      <c r="C665" s="76"/>
      <c r="D665" s="77"/>
      <c r="E665" s="62"/>
      <c r="F665" s="62"/>
      <c r="G665" s="76"/>
      <c r="H665" s="76"/>
      <c r="I665" s="76"/>
      <c r="J665" s="76"/>
      <c r="K665" s="76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spans="1:26" ht="15.75" customHeight="1" x14ac:dyDescent="0.25">
      <c r="A666" s="62"/>
      <c r="B666" s="62"/>
      <c r="C666" s="76"/>
      <c r="D666" s="77"/>
      <c r="E666" s="62"/>
      <c r="F666" s="62"/>
      <c r="G666" s="76"/>
      <c r="H666" s="76"/>
      <c r="I666" s="76"/>
      <c r="J666" s="76"/>
      <c r="K666" s="76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spans="1:26" ht="15.75" customHeight="1" x14ac:dyDescent="0.25">
      <c r="A667" s="62"/>
      <c r="B667" s="62"/>
      <c r="C667" s="76"/>
      <c r="D667" s="77"/>
      <c r="E667" s="62"/>
      <c r="F667" s="62"/>
      <c r="G667" s="76"/>
      <c r="H667" s="76"/>
      <c r="I667" s="76"/>
      <c r="J667" s="76"/>
      <c r="K667" s="76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spans="1:26" ht="15.75" customHeight="1" x14ac:dyDescent="0.25">
      <c r="A668" s="62"/>
      <c r="B668" s="62"/>
      <c r="C668" s="76"/>
      <c r="D668" s="77"/>
      <c r="E668" s="62"/>
      <c r="F668" s="62"/>
      <c r="G668" s="76"/>
      <c r="H668" s="76"/>
      <c r="I668" s="76"/>
      <c r="J668" s="76"/>
      <c r="K668" s="76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spans="1:26" ht="15.75" customHeight="1" x14ac:dyDescent="0.25">
      <c r="A669" s="62"/>
      <c r="B669" s="62"/>
      <c r="C669" s="76"/>
      <c r="D669" s="77"/>
      <c r="E669" s="62"/>
      <c r="F669" s="62"/>
      <c r="G669" s="76"/>
      <c r="H669" s="76"/>
      <c r="I669" s="76"/>
      <c r="J669" s="76"/>
      <c r="K669" s="76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spans="1:26" ht="15.75" customHeight="1" x14ac:dyDescent="0.25">
      <c r="A670" s="62"/>
      <c r="B670" s="62"/>
      <c r="C670" s="76"/>
      <c r="D670" s="77"/>
      <c r="E670" s="62"/>
      <c r="F670" s="62"/>
      <c r="G670" s="76"/>
      <c r="H670" s="76"/>
      <c r="I670" s="76"/>
      <c r="J670" s="76"/>
      <c r="K670" s="76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spans="1:26" ht="15.75" customHeight="1" x14ac:dyDescent="0.25">
      <c r="A671" s="62"/>
      <c r="B671" s="62"/>
      <c r="C671" s="76"/>
      <c r="D671" s="77"/>
      <c r="E671" s="62"/>
      <c r="F671" s="62"/>
      <c r="G671" s="76"/>
      <c r="H671" s="76"/>
      <c r="I671" s="76"/>
      <c r="J671" s="76"/>
      <c r="K671" s="76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spans="1:26" ht="15.75" customHeight="1" x14ac:dyDescent="0.25">
      <c r="A672" s="62"/>
      <c r="B672" s="62"/>
      <c r="C672" s="76"/>
      <c r="D672" s="77"/>
      <c r="E672" s="62"/>
      <c r="F672" s="62"/>
      <c r="G672" s="76"/>
      <c r="H672" s="76"/>
      <c r="I672" s="76"/>
      <c r="J672" s="76"/>
      <c r="K672" s="76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spans="1:26" ht="15.75" customHeight="1" x14ac:dyDescent="0.25">
      <c r="A673" s="62"/>
      <c r="B673" s="62"/>
      <c r="C673" s="76"/>
      <c r="D673" s="77"/>
      <c r="E673" s="62"/>
      <c r="F673" s="62"/>
      <c r="G673" s="76"/>
      <c r="H673" s="76"/>
      <c r="I673" s="76"/>
      <c r="J673" s="76"/>
      <c r="K673" s="76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spans="1:26" ht="15.75" customHeight="1" x14ac:dyDescent="0.25">
      <c r="A674" s="62"/>
      <c r="B674" s="62"/>
      <c r="C674" s="76"/>
      <c r="D674" s="77"/>
      <c r="E674" s="62"/>
      <c r="F674" s="62"/>
      <c r="G674" s="76"/>
      <c r="H674" s="76"/>
      <c r="I674" s="76"/>
      <c r="J674" s="76"/>
      <c r="K674" s="76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spans="1:26" ht="15.75" customHeight="1" x14ac:dyDescent="0.25">
      <c r="A675" s="62"/>
      <c r="B675" s="62"/>
      <c r="C675" s="76"/>
      <c r="D675" s="77"/>
      <c r="E675" s="62"/>
      <c r="F675" s="62"/>
      <c r="G675" s="76"/>
      <c r="H675" s="76"/>
      <c r="I675" s="76"/>
      <c r="J675" s="76"/>
      <c r="K675" s="76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spans="1:26" ht="15.75" customHeight="1" x14ac:dyDescent="0.25">
      <c r="A676" s="62"/>
      <c r="B676" s="62"/>
      <c r="C676" s="76"/>
      <c r="D676" s="77"/>
      <c r="E676" s="62"/>
      <c r="F676" s="62"/>
      <c r="G676" s="76"/>
      <c r="H676" s="76"/>
      <c r="I676" s="76"/>
      <c r="J676" s="76"/>
      <c r="K676" s="76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spans="1:26" ht="15.75" customHeight="1" x14ac:dyDescent="0.25">
      <c r="A677" s="62"/>
      <c r="B677" s="62"/>
      <c r="C677" s="76"/>
      <c r="D677" s="77"/>
      <c r="E677" s="62"/>
      <c r="F677" s="62"/>
      <c r="G677" s="76"/>
      <c r="H677" s="76"/>
      <c r="I677" s="76"/>
      <c r="J677" s="76"/>
      <c r="K677" s="76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spans="1:26" ht="15.75" customHeight="1" x14ac:dyDescent="0.25">
      <c r="A678" s="62"/>
      <c r="B678" s="62"/>
      <c r="C678" s="76"/>
      <c r="D678" s="77"/>
      <c r="E678" s="62"/>
      <c r="F678" s="62"/>
      <c r="G678" s="76"/>
      <c r="H678" s="76"/>
      <c r="I678" s="76"/>
      <c r="J678" s="76"/>
      <c r="K678" s="76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spans="1:26" ht="15.75" customHeight="1" x14ac:dyDescent="0.25">
      <c r="A679" s="62"/>
      <c r="B679" s="62"/>
      <c r="C679" s="76"/>
      <c r="D679" s="77"/>
      <c r="E679" s="62"/>
      <c r="F679" s="62"/>
      <c r="G679" s="76"/>
      <c r="H679" s="76"/>
      <c r="I679" s="76"/>
      <c r="J679" s="76"/>
      <c r="K679" s="76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spans="1:26" ht="15.75" customHeight="1" x14ac:dyDescent="0.25">
      <c r="A680" s="62"/>
      <c r="B680" s="62"/>
      <c r="C680" s="76"/>
      <c r="D680" s="77"/>
      <c r="E680" s="62"/>
      <c r="F680" s="62"/>
      <c r="G680" s="76"/>
      <c r="H680" s="76"/>
      <c r="I680" s="76"/>
      <c r="J680" s="76"/>
      <c r="K680" s="76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spans="1:26" ht="15.75" customHeight="1" x14ac:dyDescent="0.25">
      <c r="A681" s="62"/>
      <c r="B681" s="62"/>
      <c r="C681" s="76"/>
      <c r="D681" s="77"/>
      <c r="E681" s="62"/>
      <c r="F681" s="62"/>
      <c r="G681" s="76"/>
      <c r="H681" s="76"/>
      <c r="I681" s="76"/>
      <c r="J681" s="76"/>
      <c r="K681" s="76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spans="1:26" ht="15.75" customHeight="1" x14ac:dyDescent="0.25">
      <c r="A682" s="62"/>
      <c r="B682" s="62"/>
      <c r="C682" s="76"/>
      <c r="D682" s="77"/>
      <c r="E682" s="62"/>
      <c r="F682" s="62"/>
      <c r="G682" s="76"/>
      <c r="H682" s="76"/>
      <c r="I682" s="76"/>
      <c r="J682" s="76"/>
      <c r="K682" s="76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spans="1:26" ht="15.75" customHeight="1" x14ac:dyDescent="0.25">
      <c r="A683" s="62"/>
      <c r="B683" s="62"/>
      <c r="C683" s="76"/>
      <c r="D683" s="77"/>
      <c r="E683" s="62"/>
      <c r="F683" s="62"/>
      <c r="G683" s="76"/>
      <c r="H683" s="76"/>
      <c r="I683" s="76"/>
      <c r="J683" s="76"/>
      <c r="K683" s="76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spans="1:26" ht="15.75" customHeight="1" x14ac:dyDescent="0.25">
      <c r="A684" s="62"/>
      <c r="B684" s="62"/>
      <c r="C684" s="76"/>
      <c r="D684" s="77"/>
      <c r="E684" s="62"/>
      <c r="F684" s="62"/>
      <c r="G684" s="76"/>
      <c r="H684" s="76"/>
      <c r="I684" s="76"/>
      <c r="J684" s="76"/>
      <c r="K684" s="76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spans="1:26" ht="15.75" customHeight="1" x14ac:dyDescent="0.25">
      <c r="A685" s="62"/>
      <c r="B685" s="62"/>
      <c r="C685" s="76"/>
      <c r="D685" s="77"/>
      <c r="E685" s="62"/>
      <c r="F685" s="62"/>
      <c r="G685" s="76"/>
      <c r="H685" s="76"/>
      <c r="I685" s="76"/>
      <c r="J685" s="76"/>
      <c r="K685" s="76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spans="1:26" ht="15.75" customHeight="1" x14ac:dyDescent="0.25">
      <c r="A686" s="62"/>
      <c r="B686" s="62"/>
      <c r="C686" s="76"/>
      <c r="D686" s="77"/>
      <c r="E686" s="62"/>
      <c r="F686" s="62"/>
      <c r="G686" s="76"/>
      <c r="H686" s="76"/>
      <c r="I686" s="76"/>
      <c r="J686" s="76"/>
      <c r="K686" s="76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spans="1:26" ht="15.75" customHeight="1" x14ac:dyDescent="0.25">
      <c r="A687" s="62"/>
      <c r="B687" s="62"/>
      <c r="C687" s="76"/>
      <c r="D687" s="77"/>
      <c r="E687" s="62"/>
      <c r="F687" s="62"/>
      <c r="G687" s="76"/>
      <c r="H687" s="76"/>
      <c r="I687" s="76"/>
      <c r="J687" s="76"/>
      <c r="K687" s="76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spans="1:26" ht="15.75" customHeight="1" x14ac:dyDescent="0.25">
      <c r="A688" s="62"/>
      <c r="B688" s="62"/>
      <c r="C688" s="76"/>
      <c r="D688" s="77"/>
      <c r="E688" s="62"/>
      <c r="F688" s="62"/>
      <c r="G688" s="76"/>
      <c r="H688" s="76"/>
      <c r="I688" s="76"/>
      <c r="J688" s="76"/>
      <c r="K688" s="76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spans="1:26" ht="15.75" customHeight="1" x14ac:dyDescent="0.25">
      <c r="A689" s="62"/>
      <c r="B689" s="62"/>
      <c r="C689" s="76"/>
      <c r="D689" s="77"/>
      <c r="E689" s="62"/>
      <c r="F689" s="62"/>
      <c r="G689" s="76"/>
      <c r="H689" s="76"/>
      <c r="I689" s="76"/>
      <c r="J689" s="76"/>
      <c r="K689" s="76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spans="1:26" ht="15.75" customHeight="1" x14ac:dyDescent="0.25">
      <c r="A690" s="62"/>
      <c r="B690" s="62"/>
      <c r="C690" s="76"/>
      <c r="D690" s="77"/>
      <c r="E690" s="62"/>
      <c r="F690" s="62"/>
      <c r="G690" s="76"/>
      <c r="H690" s="76"/>
      <c r="I690" s="76"/>
      <c r="J690" s="76"/>
      <c r="K690" s="76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spans="1:26" ht="15.75" customHeight="1" x14ac:dyDescent="0.25">
      <c r="A691" s="62"/>
      <c r="B691" s="62"/>
      <c r="C691" s="76"/>
      <c r="D691" s="77"/>
      <c r="E691" s="62"/>
      <c r="F691" s="62"/>
      <c r="G691" s="76"/>
      <c r="H691" s="76"/>
      <c r="I691" s="76"/>
      <c r="J691" s="76"/>
      <c r="K691" s="76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spans="1:26" ht="15.75" customHeight="1" x14ac:dyDescent="0.25">
      <c r="A692" s="62"/>
      <c r="B692" s="62"/>
      <c r="C692" s="76"/>
      <c r="D692" s="77"/>
      <c r="E692" s="62"/>
      <c r="F692" s="62"/>
      <c r="G692" s="76"/>
      <c r="H692" s="76"/>
      <c r="I692" s="76"/>
      <c r="J692" s="76"/>
      <c r="K692" s="76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spans="1:26" ht="15.75" customHeight="1" x14ac:dyDescent="0.25">
      <c r="A693" s="62"/>
      <c r="B693" s="62"/>
      <c r="C693" s="76"/>
      <c r="D693" s="77"/>
      <c r="E693" s="62"/>
      <c r="F693" s="62"/>
      <c r="G693" s="76"/>
      <c r="H693" s="76"/>
      <c r="I693" s="76"/>
      <c r="J693" s="76"/>
      <c r="K693" s="76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spans="1:26" ht="15.75" customHeight="1" x14ac:dyDescent="0.25">
      <c r="A694" s="62"/>
      <c r="B694" s="62"/>
      <c r="C694" s="76"/>
      <c r="D694" s="77"/>
      <c r="E694" s="62"/>
      <c r="F694" s="62"/>
      <c r="G694" s="76"/>
      <c r="H694" s="76"/>
      <c r="I694" s="76"/>
      <c r="J694" s="76"/>
      <c r="K694" s="76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spans="1:26" ht="15.75" customHeight="1" x14ac:dyDescent="0.25">
      <c r="A695" s="62"/>
      <c r="B695" s="62"/>
      <c r="C695" s="76"/>
      <c r="D695" s="77"/>
      <c r="E695" s="62"/>
      <c r="F695" s="62"/>
      <c r="G695" s="76"/>
      <c r="H695" s="76"/>
      <c r="I695" s="76"/>
      <c r="J695" s="76"/>
      <c r="K695" s="76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spans="1:26" ht="15.75" customHeight="1" x14ac:dyDescent="0.25">
      <c r="A696" s="62"/>
      <c r="B696" s="62"/>
      <c r="C696" s="76"/>
      <c r="D696" s="77"/>
      <c r="E696" s="62"/>
      <c r="F696" s="62"/>
      <c r="G696" s="76"/>
      <c r="H696" s="76"/>
      <c r="I696" s="76"/>
      <c r="J696" s="76"/>
      <c r="K696" s="76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spans="1:26" ht="15.75" customHeight="1" x14ac:dyDescent="0.25">
      <c r="A697" s="62"/>
      <c r="B697" s="62"/>
      <c r="C697" s="76"/>
      <c r="D697" s="77"/>
      <c r="E697" s="62"/>
      <c r="F697" s="62"/>
      <c r="G697" s="76"/>
      <c r="H697" s="76"/>
      <c r="I697" s="76"/>
      <c r="J697" s="76"/>
      <c r="K697" s="76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spans="1:26" ht="15.75" customHeight="1" x14ac:dyDescent="0.25">
      <c r="A698" s="62"/>
      <c r="B698" s="62"/>
      <c r="C698" s="76"/>
      <c r="D698" s="77"/>
      <c r="E698" s="62"/>
      <c r="F698" s="62"/>
      <c r="G698" s="76"/>
      <c r="H698" s="76"/>
      <c r="I698" s="76"/>
      <c r="J698" s="76"/>
      <c r="K698" s="76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spans="1:26" ht="15.75" customHeight="1" x14ac:dyDescent="0.25">
      <c r="A699" s="62"/>
      <c r="B699" s="62"/>
      <c r="C699" s="76"/>
      <c r="D699" s="77"/>
      <c r="E699" s="62"/>
      <c r="F699" s="62"/>
      <c r="G699" s="76"/>
      <c r="H699" s="76"/>
      <c r="I699" s="76"/>
      <c r="J699" s="76"/>
      <c r="K699" s="76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spans="1:26" ht="15.75" customHeight="1" x14ac:dyDescent="0.25">
      <c r="A700" s="62"/>
      <c r="B700" s="62"/>
      <c r="C700" s="76"/>
      <c r="D700" s="77"/>
      <c r="E700" s="62"/>
      <c r="F700" s="62"/>
      <c r="G700" s="76"/>
      <c r="H700" s="76"/>
      <c r="I700" s="76"/>
      <c r="J700" s="76"/>
      <c r="K700" s="76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spans="1:26" ht="15.75" customHeight="1" x14ac:dyDescent="0.25">
      <c r="A701" s="62"/>
      <c r="B701" s="62"/>
      <c r="C701" s="76"/>
      <c r="D701" s="77"/>
      <c r="E701" s="62"/>
      <c r="F701" s="62"/>
      <c r="G701" s="76"/>
      <c r="H701" s="76"/>
      <c r="I701" s="76"/>
      <c r="J701" s="76"/>
      <c r="K701" s="76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spans="1:26" ht="15.75" customHeight="1" x14ac:dyDescent="0.25">
      <c r="A702" s="62"/>
      <c r="B702" s="62"/>
      <c r="C702" s="76"/>
      <c r="D702" s="77"/>
      <c r="E702" s="62"/>
      <c r="F702" s="62"/>
      <c r="G702" s="76"/>
      <c r="H702" s="76"/>
      <c r="I702" s="76"/>
      <c r="J702" s="76"/>
      <c r="K702" s="76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spans="1:26" ht="15.75" customHeight="1" x14ac:dyDescent="0.25">
      <c r="A703" s="62"/>
      <c r="B703" s="62"/>
      <c r="C703" s="76"/>
      <c r="D703" s="77"/>
      <c r="E703" s="62"/>
      <c r="F703" s="62"/>
      <c r="G703" s="76"/>
      <c r="H703" s="76"/>
      <c r="I703" s="76"/>
      <c r="J703" s="76"/>
      <c r="K703" s="76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spans="1:26" ht="15.75" customHeight="1" x14ac:dyDescent="0.25">
      <c r="A704" s="62"/>
      <c r="B704" s="62"/>
      <c r="C704" s="76"/>
      <c r="D704" s="77"/>
      <c r="E704" s="62"/>
      <c r="F704" s="62"/>
      <c r="G704" s="76"/>
      <c r="H704" s="76"/>
      <c r="I704" s="76"/>
      <c r="J704" s="76"/>
      <c r="K704" s="76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spans="1:26" ht="15.75" customHeight="1" x14ac:dyDescent="0.25">
      <c r="A705" s="62"/>
      <c r="B705" s="62"/>
      <c r="C705" s="76"/>
      <c r="D705" s="77"/>
      <c r="E705" s="62"/>
      <c r="F705" s="62"/>
      <c r="G705" s="76"/>
      <c r="H705" s="76"/>
      <c r="I705" s="76"/>
      <c r="J705" s="76"/>
      <c r="K705" s="76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spans="1:26" ht="15.75" customHeight="1" x14ac:dyDescent="0.25">
      <c r="A706" s="62"/>
      <c r="B706" s="62"/>
      <c r="C706" s="76"/>
      <c r="D706" s="77"/>
      <c r="E706" s="62"/>
      <c r="F706" s="62"/>
      <c r="G706" s="76"/>
      <c r="H706" s="76"/>
      <c r="I706" s="76"/>
      <c r="J706" s="76"/>
      <c r="K706" s="76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spans="1:26" ht="15.75" customHeight="1" x14ac:dyDescent="0.25">
      <c r="A707" s="62"/>
      <c r="B707" s="62"/>
      <c r="C707" s="76"/>
      <c r="D707" s="77"/>
      <c r="E707" s="62"/>
      <c r="F707" s="62"/>
      <c r="G707" s="76"/>
      <c r="H707" s="76"/>
      <c r="I707" s="76"/>
      <c r="J707" s="76"/>
      <c r="K707" s="76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spans="1:26" ht="15.75" customHeight="1" x14ac:dyDescent="0.25">
      <c r="A708" s="62"/>
      <c r="B708" s="62"/>
      <c r="C708" s="76"/>
      <c r="D708" s="77"/>
      <c r="E708" s="62"/>
      <c r="F708" s="62"/>
      <c r="G708" s="76"/>
      <c r="H708" s="76"/>
      <c r="I708" s="76"/>
      <c r="J708" s="76"/>
      <c r="K708" s="76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spans="1:26" ht="15.75" customHeight="1" x14ac:dyDescent="0.25">
      <c r="A709" s="62"/>
      <c r="B709" s="62"/>
      <c r="C709" s="76"/>
      <c r="D709" s="77"/>
      <c r="E709" s="62"/>
      <c r="F709" s="62"/>
      <c r="G709" s="76"/>
      <c r="H709" s="76"/>
      <c r="I709" s="76"/>
      <c r="J709" s="76"/>
      <c r="K709" s="76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spans="1:26" ht="15.75" customHeight="1" x14ac:dyDescent="0.25">
      <c r="A710" s="62"/>
      <c r="B710" s="62"/>
      <c r="C710" s="76"/>
      <c r="D710" s="77"/>
      <c r="E710" s="62"/>
      <c r="F710" s="62"/>
      <c r="G710" s="76"/>
      <c r="H710" s="76"/>
      <c r="I710" s="76"/>
      <c r="J710" s="76"/>
      <c r="K710" s="76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spans="1:26" ht="15.75" customHeight="1" x14ac:dyDescent="0.25">
      <c r="A711" s="62"/>
      <c r="B711" s="62"/>
      <c r="C711" s="76"/>
      <c r="D711" s="77"/>
      <c r="E711" s="62"/>
      <c r="F711" s="62"/>
      <c r="G711" s="76"/>
      <c r="H711" s="76"/>
      <c r="I711" s="76"/>
      <c r="J711" s="76"/>
      <c r="K711" s="76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spans="1:26" ht="15.75" customHeight="1" x14ac:dyDescent="0.25">
      <c r="A712" s="62"/>
      <c r="B712" s="62"/>
      <c r="C712" s="76"/>
      <c r="D712" s="77"/>
      <c r="E712" s="62"/>
      <c r="F712" s="62"/>
      <c r="G712" s="76"/>
      <c r="H712" s="76"/>
      <c r="I712" s="76"/>
      <c r="J712" s="76"/>
      <c r="K712" s="76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spans="1:26" ht="15.75" customHeight="1" x14ac:dyDescent="0.25">
      <c r="A713" s="62"/>
      <c r="B713" s="62"/>
      <c r="C713" s="76"/>
      <c r="D713" s="77"/>
      <c r="E713" s="62"/>
      <c r="F713" s="62"/>
      <c r="G713" s="76"/>
      <c r="H713" s="76"/>
      <c r="I713" s="76"/>
      <c r="J713" s="76"/>
      <c r="K713" s="76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spans="1:26" ht="15.75" customHeight="1" x14ac:dyDescent="0.25">
      <c r="A714" s="62"/>
      <c r="B714" s="62"/>
      <c r="C714" s="76"/>
      <c r="D714" s="77"/>
      <c r="E714" s="62"/>
      <c r="F714" s="62"/>
      <c r="G714" s="76"/>
      <c r="H714" s="76"/>
      <c r="I714" s="76"/>
      <c r="J714" s="76"/>
      <c r="K714" s="76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spans="1:26" ht="15.75" customHeight="1" x14ac:dyDescent="0.25">
      <c r="A715" s="62"/>
      <c r="B715" s="62"/>
      <c r="C715" s="76"/>
      <c r="D715" s="77"/>
      <c r="E715" s="62"/>
      <c r="F715" s="62"/>
      <c r="G715" s="76"/>
      <c r="H715" s="76"/>
      <c r="I715" s="76"/>
      <c r="J715" s="76"/>
      <c r="K715" s="76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spans="1:26" ht="15.75" customHeight="1" x14ac:dyDescent="0.25">
      <c r="A716" s="62"/>
      <c r="B716" s="62"/>
      <c r="C716" s="76"/>
      <c r="D716" s="77"/>
      <c r="E716" s="62"/>
      <c r="F716" s="62"/>
      <c r="G716" s="76"/>
      <c r="H716" s="76"/>
      <c r="I716" s="76"/>
      <c r="J716" s="76"/>
      <c r="K716" s="76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spans="1:26" ht="15.75" customHeight="1" x14ac:dyDescent="0.25">
      <c r="A717" s="62"/>
      <c r="B717" s="62"/>
      <c r="C717" s="76"/>
      <c r="D717" s="77"/>
      <c r="E717" s="62"/>
      <c r="F717" s="62"/>
      <c r="G717" s="76"/>
      <c r="H717" s="76"/>
      <c r="I717" s="76"/>
      <c r="J717" s="76"/>
      <c r="K717" s="76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spans="1:26" ht="15.75" customHeight="1" x14ac:dyDescent="0.25">
      <c r="A718" s="62"/>
      <c r="B718" s="62"/>
      <c r="C718" s="76"/>
      <c r="D718" s="77"/>
      <c r="E718" s="62"/>
      <c r="F718" s="62"/>
      <c r="G718" s="76"/>
      <c r="H718" s="76"/>
      <c r="I718" s="76"/>
      <c r="J718" s="76"/>
      <c r="K718" s="76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spans="1:26" ht="15.75" customHeight="1" x14ac:dyDescent="0.25">
      <c r="A719" s="62"/>
      <c r="B719" s="62"/>
      <c r="C719" s="76"/>
      <c r="D719" s="77"/>
      <c r="E719" s="62"/>
      <c r="F719" s="62"/>
      <c r="G719" s="76"/>
      <c r="H719" s="76"/>
      <c r="I719" s="76"/>
      <c r="J719" s="76"/>
      <c r="K719" s="76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spans="1:26" ht="15.75" customHeight="1" x14ac:dyDescent="0.25">
      <c r="A720" s="62"/>
      <c r="B720" s="62"/>
      <c r="C720" s="76"/>
      <c r="D720" s="77"/>
      <c r="E720" s="62"/>
      <c r="F720" s="62"/>
      <c r="G720" s="76"/>
      <c r="H720" s="76"/>
      <c r="I720" s="76"/>
      <c r="J720" s="76"/>
      <c r="K720" s="76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spans="1:26" ht="15.75" customHeight="1" x14ac:dyDescent="0.25">
      <c r="A721" s="62"/>
      <c r="B721" s="62"/>
      <c r="C721" s="76"/>
      <c r="D721" s="77"/>
      <c r="E721" s="62"/>
      <c r="F721" s="62"/>
      <c r="G721" s="76"/>
      <c r="H721" s="76"/>
      <c r="I721" s="76"/>
      <c r="J721" s="76"/>
      <c r="K721" s="76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spans="1:26" ht="15.75" customHeight="1" x14ac:dyDescent="0.25">
      <c r="A722" s="62"/>
      <c r="B722" s="62"/>
      <c r="C722" s="76"/>
      <c r="D722" s="77"/>
      <c r="E722" s="62"/>
      <c r="F722" s="62"/>
      <c r="G722" s="76"/>
      <c r="H722" s="76"/>
      <c r="I722" s="76"/>
      <c r="J722" s="76"/>
      <c r="K722" s="76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spans="1:26" ht="15.75" customHeight="1" x14ac:dyDescent="0.25">
      <c r="A723" s="62"/>
      <c r="B723" s="62"/>
      <c r="C723" s="76"/>
      <c r="D723" s="77"/>
      <c r="E723" s="62"/>
      <c r="F723" s="62"/>
      <c r="G723" s="76"/>
      <c r="H723" s="76"/>
      <c r="I723" s="76"/>
      <c r="J723" s="76"/>
      <c r="K723" s="76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spans="1:26" ht="15.75" customHeight="1" x14ac:dyDescent="0.25">
      <c r="A724" s="62"/>
      <c r="B724" s="62"/>
      <c r="C724" s="76"/>
      <c r="D724" s="77"/>
      <c r="E724" s="62"/>
      <c r="F724" s="62"/>
      <c r="G724" s="76"/>
      <c r="H724" s="76"/>
      <c r="I724" s="76"/>
      <c r="J724" s="76"/>
      <c r="K724" s="76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spans="1:26" ht="15.75" customHeight="1" x14ac:dyDescent="0.25">
      <c r="A725" s="62"/>
      <c r="B725" s="62"/>
      <c r="C725" s="76"/>
      <c r="D725" s="77"/>
      <c r="E725" s="62"/>
      <c r="F725" s="62"/>
      <c r="G725" s="76"/>
      <c r="H725" s="76"/>
      <c r="I725" s="76"/>
      <c r="J725" s="76"/>
      <c r="K725" s="76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spans="1:26" ht="15.75" customHeight="1" x14ac:dyDescent="0.25">
      <c r="A726" s="62"/>
      <c r="B726" s="62"/>
      <c r="C726" s="76"/>
      <c r="D726" s="77"/>
      <c r="E726" s="62"/>
      <c r="F726" s="62"/>
      <c r="G726" s="76"/>
      <c r="H726" s="76"/>
      <c r="I726" s="76"/>
      <c r="J726" s="76"/>
      <c r="K726" s="76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spans="1:26" ht="15.75" customHeight="1" x14ac:dyDescent="0.25">
      <c r="A727" s="62"/>
      <c r="B727" s="62"/>
      <c r="C727" s="76"/>
      <c r="D727" s="77"/>
      <c r="E727" s="62"/>
      <c r="F727" s="62"/>
      <c r="G727" s="76"/>
      <c r="H727" s="76"/>
      <c r="I727" s="76"/>
      <c r="J727" s="76"/>
      <c r="K727" s="76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spans="1:26" ht="15.75" customHeight="1" x14ac:dyDescent="0.25">
      <c r="A728" s="62"/>
      <c r="B728" s="62"/>
      <c r="C728" s="76"/>
      <c r="D728" s="77"/>
      <c r="E728" s="62"/>
      <c r="F728" s="62"/>
      <c r="G728" s="76"/>
      <c r="H728" s="76"/>
      <c r="I728" s="76"/>
      <c r="J728" s="76"/>
      <c r="K728" s="76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spans="1:26" ht="15.75" customHeight="1" x14ac:dyDescent="0.25">
      <c r="A729" s="62"/>
      <c r="B729" s="62"/>
      <c r="C729" s="76"/>
      <c r="D729" s="77"/>
      <c r="E729" s="62"/>
      <c r="F729" s="62"/>
      <c r="G729" s="76"/>
      <c r="H729" s="76"/>
      <c r="I729" s="76"/>
      <c r="J729" s="76"/>
      <c r="K729" s="76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spans="1:26" ht="15.75" customHeight="1" x14ac:dyDescent="0.25">
      <c r="A730" s="62"/>
      <c r="B730" s="62"/>
      <c r="C730" s="76"/>
      <c r="D730" s="77"/>
      <c r="E730" s="62"/>
      <c r="F730" s="62"/>
      <c r="G730" s="76"/>
      <c r="H730" s="76"/>
      <c r="I730" s="76"/>
      <c r="J730" s="76"/>
      <c r="K730" s="76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spans="1:26" ht="15.75" customHeight="1" x14ac:dyDescent="0.25">
      <c r="A731" s="62"/>
      <c r="B731" s="62"/>
      <c r="C731" s="76"/>
      <c r="D731" s="77"/>
      <c r="E731" s="62"/>
      <c r="F731" s="62"/>
      <c r="G731" s="76"/>
      <c r="H731" s="76"/>
      <c r="I731" s="76"/>
      <c r="J731" s="76"/>
      <c r="K731" s="76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spans="1:26" ht="15.75" customHeight="1" x14ac:dyDescent="0.25">
      <c r="A732" s="62"/>
      <c r="B732" s="62"/>
      <c r="C732" s="76"/>
      <c r="D732" s="77"/>
      <c r="E732" s="62"/>
      <c r="F732" s="62"/>
      <c r="G732" s="76"/>
      <c r="H732" s="76"/>
      <c r="I732" s="76"/>
      <c r="J732" s="76"/>
      <c r="K732" s="76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spans="1:26" ht="15.75" customHeight="1" x14ac:dyDescent="0.25">
      <c r="A733" s="62"/>
      <c r="B733" s="62"/>
      <c r="C733" s="76"/>
      <c r="D733" s="77"/>
      <c r="E733" s="62"/>
      <c r="F733" s="62"/>
      <c r="G733" s="76"/>
      <c r="H733" s="76"/>
      <c r="I733" s="76"/>
      <c r="J733" s="76"/>
      <c r="K733" s="76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spans="1:26" ht="15.75" customHeight="1" x14ac:dyDescent="0.25">
      <c r="A734" s="62"/>
      <c r="B734" s="62"/>
      <c r="C734" s="76"/>
      <c r="D734" s="77"/>
      <c r="E734" s="62"/>
      <c r="F734" s="62"/>
      <c r="G734" s="76"/>
      <c r="H734" s="76"/>
      <c r="I734" s="76"/>
      <c r="J734" s="76"/>
      <c r="K734" s="76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spans="1:26" ht="15.75" customHeight="1" x14ac:dyDescent="0.25">
      <c r="A735" s="62"/>
      <c r="B735" s="62"/>
      <c r="C735" s="76"/>
      <c r="D735" s="77"/>
      <c r="E735" s="62"/>
      <c r="F735" s="62"/>
      <c r="G735" s="76"/>
      <c r="H735" s="76"/>
      <c r="I735" s="76"/>
      <c r="J735" s="76"/>
      <c r="K735" s="76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spans="1:26" ht="15.75" customHeight="1" x14ac:dyDescent="0.25">
      <c r="A736" s="62"/>
      <c r="B736" s="62"/>
      <c r="C736" s="76"/>
      <c r="D736" s="77"/>
      <c r="E736" s="62"/>
      <c r="F736" s="62"/>
      <c r="G736" s="76"/>
      <c r="H736" s="76"/>
      <c r="I736" s="76"/>
      <c r="J736" s="76"/>
      <c r="K736" s="76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spans="1:26" ht="15.75" customHeight="1" x14ac:dyDescent="0.25">
      <c r="A737" s="62"/>
      <c r="B737" s="62"/>
      <c r="C737" s="76"/>
      <c r="D737" s="77"/>
      <c r="E737" s="62"/>
      <c r="F737" s="62"/>
      <c r="G737" s="76"/>
      <c r="H737" s="76"/>
      <c r="I737" s="76"/>
      <c r="J737" s="76"/>
      <c r="K737" s="76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spans="1:26" ht="15.75" customHeight="1" x14ac:dyDescent="0.25">
      <c r="A738" s="62"/>
      <c r="B738" s="62"/>
      <c r="C738" s="76"/>
      <c r="D738" s="77"/>
      <c r="E738" s="62"/>
      <c r="F738" s="62"/>
      <c r="G738" s="76"/>
      <c r="H738" s="76"/>
      <c r="I738" s="76"/>
      <c r="J738" s="76"/>
      <c r="K738" s="76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spans="1:26" ht="15.75" customHeight="1" x14ac:dyDescent="0.25">
      <c r="A739" s="62"/>
      <c r="B739" s="62"/>
      <c r="C739" s="76"/>
      <c r="D739" s="77"/>
      <c r="E739" s="62"/>
      <c r="F739" s="62"/>
      <c r="G739" s="76"/>
      <c r="H739" s="76"/>
      <c r="I739" s="76"/>
      <c r="J739" s="76"/>
      <c r="K739" s="76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spans="1:26" ht="15.75" customHeight="1" x14ac:dyDescent="0.25">
      <c r="A740" s="62"/>
      <c r="B740" s="62"/>
      <c r="C740" s="76"/>
      <c r="D740" s="77"/>
      <c r="E740" s="62"/>
      <c r="F740" s="62"/>
      <c r="G740" s="76"/>
      <c r="H740" s="76"/>
      <c r="I740" s="76"/>
      <c r="J740" s="76"/>
      <c r="K740" s="76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spans="1:26" ht="15.75" customHeight="1" x14ac:dyDescent="0.25">
      <c r="A741" s="62"/>
      <c r="B741" s="62"/>
      <c r="C741" s="76"/>
      <c r="D741" s="77"/>
      <c r="E741" s="62"/>
      <c r="F741" s="62"/>
      <c r="G741" s="76"/>
      <c r="H741" s="76"/>
      <c r="I741" s="76"/>
      <c r="J741" s="76"/>
      <c r="K741" s="76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spans="1:26" ht="15.75" customHeight="1" x14ac:dyDescent="0.25">
      <c r="A742" s="62"/>
      <c r="B742" s="62"/>
      <c r="C742" s="76"/>
      <c r="D742" s="77"/>
      <c r="E742" s="62"/>
      <c r="F742" s="62"/>
      <c r="G742" s="76"/>
      <c r="H742" s="76"/>
      <c r="I742" s="76"/>
      <c r="J742" s="76"/>
      <c r="K742" s="76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spans="1:26" ht="15.75" customHeight="1" x14ac:dyDescent="0.25">
      <c r="A743" s="62"/>
      <c r="B743" s="62"/>
      <c r="C743" s="76"/>
      <c r="D743" s="77"/>
      <c r="E743" s="62"/>
      <c r="F743" s="62"/>
      <c r="G743" s="76"/>
      <c r="H743" s="76"/>
      <c r="I743" s="76"/>
      <c r="J743" s="76"/>
      <c r="K743" s="76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spans="1:26" ht="15.75" customHeight="1" x14ac:dyDescent="0.25">
      <c r="A744" s="62"/>
      <c r="B744" s="62"/>
      <c r="C744" s="76"/>
      <c r="D744" s="77"/>
      <c r="E744" s="62"/>
      <c r="F744" s="62"/>
      <c r="G744" s="76"/>
      <c r="H744" s="76"/>
      <c r="I744" s="76"/>
      <c r="J744" s="76"/>
      <c r="K744" s="76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spans="1:26" ht="15.75" customHeight="1" x14ac:dyDescent="0.25">
      <c r="A745" s="62"/>
      <c r="B745" s="62"/>
      <c r="C745" s="76"/>
      <c r="D745" s="77"/>
      <c r="E745" s="62"/>
      <c r="F745" s="62"/>
      <c r="G745" s="76"/>
      <c r="H745" s="76"/>
      <c r="I745" s="76"/>
      <c r="J745" s="76"/>
      <c r="K745" s="76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spans="1:26" ht="15.75" customHeight="1" x14ac:dyDescent="0.25">
      <c r="A746" s="62"/>
      <c r="B746" s="62"/>
      <c r="C746" s="76"/>
      <c r="D746" s="77"/>
      <c r="E746" s="62"/>
      <c r="F746" s="62"/>
      <c r="G746" s="76"/>
      <c r="H746" s="76"/>
      <c r="I746" s="76"/>
      <c r="J746" s="76"/>
      <c r="K746" s="76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spans="1:26" ht="15.75" customHeight="1" x14ac:dyDescent="0.25">
      <c r="A747" s="62"/>
      <c r="B747" s="62"/>
      <c r="C747" s="76"/>
      <c r="D747" s="77"/>
      <c r="E747" s="62"/>
      <c r="F747" s="62"/>
      <c r="G747" s="76"/>
      <c r="H747" s="76"/>
      <c r="I747" s="76"/>
      <c r="J747" s="76"/>
      <c r="K747" s="76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spans="1:26" ht="15.75" customHeight="1" x14ac:dyDescent="0.25">
      <c r="A748" s="62"/>
      <c r="B748" s="62"/>
      <c r="C748" s="76"/>
      <c r="D748" s="77"/>
      <c r="E748" s="62"/>
      <c r="F748" s="62"/>
      <c r="G748" s="76"/>
      <c r="H748" s="76"/>
      <c r="I748" s="76"/>
      <c r="J748" s="76"/>
      <c r="K748" s="76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spans="1:26" ht="15.75" customHeight="1" x14ac:dyDescent="0.25">
      <c r="A749" s="62"/>
      <c r="B749" s="62"/>
      <c r="C749" s="76"/>
      <c r="D749" s="77"/>
      <c r="E749" s="62"/>
      <c r="F749" s="62"/>
      <c r="G749" s="76"/>
      <c r="H749" s="76"/>
      <c r="I749" s="76"/>
      <c r="J749" s="76"/>
      <c r="K749" s="76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spans="1:26" ht="15.75" customHeight="1" x14ac:dyDescent="0.25">
      <c r="A750" s="62"/>
      <c r="B750" s="62"/>
      <c r="C750" s="76"/>
      <c r="D750" s="77"/>
      <c r="E750" s="62"/>
      <c r="F750" s="62"/>
      <c r="G750" s="76"/>
      <c r="H750" s="76"/>
      <c r="I750" s="76"/>
      <c r="J750" s="76"/>
      <c r="K750" s="76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spans="1:26" ht="15.75" customHeight="1" x14ac:dyDescent="0.25">
      <c r="A751" s="62"/>
      <c r="B751" s="62"/>
      <c r="C751" s="76"/>
      <c r="D751" s="77"/>
      <c r="E751" s="62"/>
      <c r="F751" s="62"/>
      <c r="G751" s="76"/>
      <c r="H751" s="76"/>
      <c r="I751" s="76"/>
      <c r="J751" s="76"/>
      <c r="K751" s="76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spans="1:26" ht="15.75" customHeight="1" x14ac:dyDescent="0.25">
      <c r="A752" s="62"/>
      <c r="B752" s="62"/>
      <c r="C752" s="76"/>
      <c r="D752" s="77"/>
      <c r="E752" s="62"/>
      <c r="F752" s="62"/>
      <c r="G752" s="76"/>
      <c r="H752" s="76"/>
      <c r="I752" s="76"/>
      <c r="J752" s="76"/>
      <c r="K752" s="76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spans="1:26" ht="15.75" customHeight="1" x14ac:dyDescent="0.25">
      <c r="A753" s="62"/>
      <c r="B753" s="62"/>
      <c r="C753" s="76"/>
      <c r="D753" s="77"/>
      <c r="E753" s="62"/>
      <c r="F753" s="62"/>
      <c r="G753" s="76"/>
      <c r="H753" s="76"/>
      <c r="I753" s="76"/>
      <c r="J753" s="76"/>
      <c r="K753" s="76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spans="1:26" ht="15.75" customHeight="1" x14ac:dyDescent="0.25">
      <c r="A754" s="62"/>
      <c r="B754" s="62"/>
      <c r="C754" s="76"/>
      <c r="D754" s="77"/>
      <c r="E754" s="62"/>
      <c r="F754" s="62"/>
      <c r="G754" s="76"/>
      <c r="H754" s="76"/>
      <c r="I754" s="76"/>
      <c r="J754" s="76"/>
      <c r="K754" s="76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spans="1:26" ht="15.75" customHeight="1" x14ac:dyDescent="0.25">
      <c r="A755" s="62"/>
      <c r="B755" s="62"/>
      <c r="C755" s="76"/>
      <c r="D755" s="77"/>
      <c r="E755" s="62"/>
      <c r="F755" s="62"/>
      <c r="G755" s="76"/>
      <c r="H755" s="76"/>
      <c r="I755" s="76"/>
      <c r="J755" s="76"/>
      <c r="K755" s="76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spans="1:26" ht="15.75" customHeight="1" x14ac:dyDescent="0.25">
      <c r="A756" s="62"/>
      <c r="B756" s="62"/>
      <c r="C756" s="76"/>
      <c r="D756" s="77"/>
      <c r="E756" s="62"/>
      <c r="F756" s="62"/>
      <c r="G756" s="76"/>
      <c r="H756" s="76"/>
      <c r="I756" s="76"/>
      <c r="J756" s="76"/>
      <c r="K756" s="76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spans="1:26" ht="15.75" customHeight="1" x14ac:dyDescent="0.25">
      <c r="A757" s="62"/>
      <c r="B757" s="62"/>
      <c r="C757" s="76"/>
      <c r="D757" s="77"/>
      <c r="E757" s="62"/>
      <c r="F757" s="62"/>
      <c r="G757" s="76"/>
      <c r="H757" s="76"/>
      <c r="I757" s="76"/>
      <c r="J757" s="76"/>
      <c r="K757" s="76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spans="1:26" ht="15.75" customHeight="1" x14ac:dyDescent="0.25">
      <c r="A758" s="62"/>
      <c r="B758" s="62"/>
      <c r="C758" s="76"/>
      <c r="D758" s="77"/>
      <c r="E758" s="62"/>
      <c r="F758" s="62"/>
      <c r="G758" s="76"/>
      <c r="H758" s="76"/>
      <c r="I758" s="76"/>
      <c r="J758" s="76"/>
      <c r="K758" s="76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spans="1:26" ht="15.75" customHeight="1" x14ac:dyDescent="0.25">
      <c r="A759" s="62"/>
      <c r="B759" s="62"/>
      <c r="C759" s="76"/>
      <c r="D759" s="77"/>
      <c r="E759" s="62"/>
      <c r="F759" s="62"/>
      <c r="G759" s="76"/>
      <c r="H759" s="76"/>
      <c r="I759" s="76"/>
      <c r="J759" s="76"/>
      <c r="K759" s="76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spans="1:26" ht="15.75" customHeight="1" x14ac:dyDescent="0.25">
      <c r="A760" s="62"/>
      <c r="B760" s="62"/>
      <c r="C760" s="76"/>
      <c r="D760" s="77"/>
      <c r="E760" s="62"/>
      <c r="F760" s="62"/>
      <c r="G760" s="76"/>
      <c r="H760" s="76"/>
      <c r="I760" s="76"/>
      <c r="J760" s="76"/>
      <c r="K760" s="76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spans="1:26" ht="15.75" customHeight="1" x14ac:dyDescent="0.25">
      <c r="A761" s="62"/>
      <c r="B761" s="62"/>
      <c r="C761" s="76"/>
      <c r="D761" s="77"/>
      <c r="E761" s="62"/>
      <c r="F761" s="62"/>
      <c r="G761" s="76"/>
      <c r="H761" s="76"/>
      <c r="I761" s="76"/>
      <c r="J761" s="76"/>
      <c r="K761" s="76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spans="1:26" ht="15.75" customHeight="1" x14ac:dyDescent="0.25">
      <c r="A762" s="62"/>
      <c r="B762" s="62"/>
      <c r="C762" s="76"/>
      <c r="D762" s="77"/>
      <c r="E762" s="62"/>
      <c r="F762" s="62"/>
      <c r="G762" s="76"/>
      <c r="H762" s="76"/>
      <c r="I762" s="76"/>
      <c r="J762" s="76"/>
      <c r="K762" s="76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spans="1:26" ht="15.75" customHeight="1" x14ac:dyDescent="0.25">
      <c r="A763" s="62"/>
      <c r="B763" s="62"/>
      <c r="C763" s="76"/>
      <c r="D763" s="77"/>
      <c r="E763" s="62"/>
      <c r="F763" s="62"/>
      <c r="G763" s="76"/>
      <c r="H763" s="76"/>
      <c r="I763" s="76"/>
      <c r="J763" s="76"/>
      <c r="K763" s="76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spans="1:26" ht="15.75" customHeight="1" x14ac:dyDescent="0.25">
      <c r="A764" s="62"/>
      <c r="B764" s="62"/>
      <c r="C764" s="76"/>
      <c r="D764" s="77"/>
      <c r="E764" s="62"/>
      <c r="F764" s="62"/>
      <c r="G764" s="76"/>
      <c r="H764" s="76"/>
      <c r="I764" s="76"/>
      <c r="J764" s="76"/>
      <c r="K764" s="76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spans="1:26" ht="15.75" customHeight="1" x14ac:dyDescent="0.25">
      <c r="A765" s="62"/>
      <c r="B765" s="62"/>
      <c r="C765" s="76"/>
      <c r="D765" s="77"/>
      <c r="E765" s="62"/>
      <c r="F765" s="62"/>
      <c r="G765" s="76"/>
      <c r="H765" s="76"/>
      <c r="I765" s="76"/>
      <c r="J765" s="76"/>
      <c r="K765" s="76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spans="1:26" ht="15.75" customHeight="1" x14ac:dyDescent="0.25">
      <c r="A766" s="62"/>
      <c r="B766" s="62"/>
      <c r="C766" s="76"/>
      <c r="D766" s="77"/>
      <c r="E766" s="62"/>
      <c r="F766" s="62"/>
      <c r="G766" s="76"/>
      <c r="H766" s="76"/>
      <c r="I766" s="76"/>
      <c r="J766" s="76"/>
      <c r="K766" s="76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spans="1:26" ht="15.75" customHeight="1" x14ac:dyDescent="0.25">
      <c r="A767" s="62"/>
      <c r="B767" s="62"/>
      <c r="C767" s="76"/>
      <c r="D767" s="77"/>
      <c r="E767" s="62"/>
      <c r="F767" s="62"/>
      <c r="G767" s="76"/>
      <c r="H767" s="76"/>
      <c r="I767" s="76"/>
      <c r="J767" s="76"/>
      <c r="K767" s="76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spans="1:26" ht="15.75" customHeight="1" x14ac:dyDescent="0.25">
      <c r="A768" s="62"/>
      <c r="B768" s="62"/>
      <c r="C768" s="76"/>
      <c r="D768" s="77"/>
      <c r="E768" s="62"/>
      <c r="F768" s="62"/>
      <c r="G768" s="76"/>
      <c r="H768" s="76"/>
      <c r="I768" s="76"/>
      <c r="J768" s="76"/>
      <c r="K768" s="76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spans="1:26" ht="15.75" customHeight="1" x14ac:dyDescent="0.25">
      <c r="A769" s="62"/>
      <c r="B769" s="62"/>
      <c r="C769" s="76"/>
      <c r="D769" s="77"/>
      <c r="E769" s="62"/>
      <c r="F769" s="62"/>
      <c r="G769" s="76"/>
      <c r="H769" s="76"/>
      <c r="I769" s="76"/>
      <c r="J769" s="76"/>
      <c r="K769" s="76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spans="1:26" ht="15.75" customHeight="1" x14ac:dyDescent="0.25">
      <c r="A770" s="62"/>
      <c r="B770" s="62"/>
      <c r="C770" s="76"/>
      <c r="D770" s="77"/>
      <c r="E770" s="62"/>
      <c r="F770" s="62"/>
      <c r="G770" s="76"/>
      <c r="H770" s="76"/>
      <c r="I770" s="76"/>
      <c r="J770" s="76"/>
      <c r="K770" s="76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spans="1:26" ht="15.75" customHeight="1" x14ac:dyDescent="0.25">
      <c r="A771" s="62"/>
      <c r="B771" s="62"/>
      <c r="C771" s="76"/>
      <c r="D771" s="77"/>
      <c r="E771" s="62"/>
      <c r="F771" s="62"/>
      <c r="G771" s="76"/>
      <c r="H771" s="76"/>
      <c r="I771" s="76"/>
      <c r="J771" s="76"/>
      <c r="K771" s="76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spans="1:26" ht="15.75" customHeight="1" x14ac:dyDescent="0.25">
      <c r="A772" s="62"/>
      <c r="B772" s="62"/>
      <c r="C772" s="76"/>
      <c r="D772" s="77"/>
      <c r="E772" s="62"/>
      <c r="F772" s="62"/>
      <c r="G772" s="76"/>
      <c r="H772" s="76"/>
      <c r="I772" s="76"/>
      <c r="J772" s="76"/>
      <c r="K772" s="76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spans="1:26" ht="15.75" customHeight="1" x14ac:dyDescent="0.25">
      <c r="A773" s="62"/>
      <c r="B773" s="62"/>
      <c r="C773" s="76"/>
      <c r="D773" s="77"/>
      <c r="E773" s="62"/>
      <c r="F773" s="62"/>
      <c r="G773" s="76"/>
      <c r="H773" s="76"/>
      <c r="I773" s="76"/>
      <c r="J773" s="76"/>
      <c r="K773" s="76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spans="1:26" ht="15.75" customHeight="1" x14ac:dyDescent="0.25">
      <c r="A774" s="62"/>
      <c r="B774" s="62"/>
      <c r="C774" s="76"/>
      <c r="D774" s="77"/>
      <c r="E774" s="62"/>
      <c r="F774" s="62"/>
      <c r="G774" s="76"/>
      <c r="H774" s="76"/>
      <c r="I774" s="76"/>
      <c r="J774" s="76"/>
      <c r="K774" s="76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spans="1:26" ht="15.75" customHeight="1" x14ac:dyDescent="0.25">
      <c r="A775" s="62"/>
      <c r="B775" s="62"/>
      <c r="C775" s="76"/>
      <c r="D775" s="77"/>
      <c r="E775" s="62"/>
      <c r="F775" s="62"/>
      <c r="G775" s="76"/>
      <c r="H775" s="76"/>
      <c r="I775" s="76"/>
      <c r="J775" s="76"/>
      <c r="K775" s="76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spans="1:26" ht="15.75" customHeight="1" x14ac:dyDescent="0.25">
      <c r="A776" s="62"/>
      <c r="B776" s="62"/>
      <c r="C776" s="76"/>
      <c r="D776" s="77"/>
      <c r="E776" s="62"/>
      <c r="F776" s="62"/>
      <c r="G776" s="76"/>
      <c r="H776" s="76"/>
      <c r="I776" s="76"/>
      <c r="J776" s="76"/>
      <c r="K776" s="76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spans="1:26" ht="15.75" customHeight="1" x14ac:dyDescent="0.25">
      <c r="A777" s="62"/>
      <c r="B777" s="62"/>
      <c r="C777" s="76"/>
      <c r="D777" s="77"/>
      <c r="E777" s="62"/>
      <c r="F777" s="62"/>
      <c r="G777" s="76"/>
      <c r="H777" s="76"/>
      <c r="I777" s="76"/>
      <c r="J777" s="76"/>
      <c r="K777" s="76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spans="1:26" ht="15.75" customHeight="1" x14ac:dyDescent="0.25">
      <c r="A778" s="62"/>
      <c r="B778" s="62"/>
      <c r="C778" s="76"/>
      <c r="D778" s="77"/>
      <c r="E778" s="62"/>
      <c r="F778" s="62"/>
      <c r="G778" s="76"/>
      <c r="H778" s="76"/>
      <c r="I778" s="76"/>
      <c r="J778" s="76"/>
      <c r="K778" s="76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spans="1:26" ht="15.75" customHeight="1" x14ac:dyDescent="0.25">
      <c r="A779" s="62"/>
      <c r="B779" s="62"/>
      <c r="C779" s="76"/>
      <c r="D779" s="77"/>
      <c r="E779" s="62"/>
      <c r="F779" s="62"/>
      <c r="G779" s="76"/>
      <c r="H779" s="76"/>
      <c r="I779" s="76"/>
      <c r="J779" s="76"/>
      <c r="K779" s="76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spans="1:26" ht="15.75" customHeight="1" x14ac:dyDescent="0.25">
      <c r="A780" s="62"/>
      <c r="B780" s="62"/>
      <c r="C780" s="76"/>
      <c r="D780" s="77"/>
      <c r="E780" s="62"/>
      <c r="F780" s="62"/>
      <c r="G780" s="76"/>
      <c r="H780" s="76"/>
      <c r="I780" s="76"/>
      <c r="J780" s="76"/>
      <c r="K780" s="76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spans="1:26" ht="15.75" customHeight="1" x14ac:dyDescent="0.25">
      <c r="A781" s="62"/>
      <c r="B781" s="62"/>
      <c r="C781" s="76"/>
      <c r="D781" s="77"/>
      <c r="E781" s="62"/>
      <c r="F781" s="62"/>
      <c r="G781" s="76"/>
      <c r="H781" s="76"/>
      <c r="I781" s="76"/>
      <c r="J781" s="76"/>
      <c r="K781" s="76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spans="1:26" ht="15.75" customHeight="1" x14ac:dyDescent="0.25">
      <c r="A782" s="62"/>
      <c r="B782" s="62"/>
      <c r="C782" s="76"/>
      <c r="D782" s="77"/>
      <c r="E782" s="62"/>
      <c r="F782" s="62"/>
      <c r="G782" s="76"/>
      <c r="H782" s="76"/>
      <c r="I782" s="76"/>
      <c r="J782" s="76"/>
      <c r="K782" s="76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spans="1:26" ht="15.75" customHeight="1" x14ac:dyDescent="0.25">
      <c r="A783" s="62"/>
      <c r="B783" s="62"/>
      <c r="C783" s="76"/>
      <c r="D783" s="77"/>
      <c r="E783" s="62"/>
      <c r="F783" s="62"/>
      <c r="G783" s="76"/>
      <c r="H783" s="76"/>
      <c r="I783" s="76"/>
      <c r="J783" s="76"/>
      <c r="K783" s="76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spans="1:26" ht="15.75" customHeight="1" x14ac:dyDescent="0.25">
      <c r="A784" s="62"/>
      <c r="B784" s="62"/>
      <c r="C784" s="76"/>
      <c r="D784" s="77"/>
      <c r="E784" s="62"/>
      <c r="F784" s="62"/>
      <c r="G784" s="76"/>
      <c r="H784" s="76"/>
      <c r="I784" s="76"/>
      <c r="J784" s="76"/>
      <c r="K784" s="76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spans="1:26" ht="15.75" customHeight="1" x14ac:dyDescent="0.25">
      <c r="A785" s="62"/>
      <c r="B785" s="62"/>
      <c r="C785" s="76"/>
      <c r="D785" s="77"/>
      <c r="E785" s="62"/>
      <c r="F785" s="62"/>
      <c r="G785" s="76"/>
      <c r="H785" s="76"/>
      <c r="I785" s="76"/>
      <c r="J785" s="76"/>
      <c r="K785" s="76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spans="1:26" ht="15.75" customHeight="1" x14ac:dyDescent="0.25">
      <c r="A786" s="62"/>
      <c r="B786" s="62"/>
      <c r="C786" s="76"/>
      <c r="D786" s="77"/>
      <c r="E786" s="62"/>
      <c r="F786" s="62"/>
      <c r="G786" s="76"/>
      <c r="H786" s="76"/>
      <c r="I786" s="76"/>
      <c r="J786" s="76"/>
      <c r="K786" s="76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spans="1:26" ht="15.75" customHeight="1" x14ac:dyDescent="0.25">
      <c r="A787" s="62"/>
      <c r="B787" s="62"/>
      <c r="C787" s="76"/>
      <c r="D787" s="77"/>
      <c r="E787" s="62"/>
      <c r="F787" s="62"/>
      <c r="G787" s="76"/>
      <c r="H787" s="76"/>
      <c r="I787" s="76"/>
      <c r="J787" s="76"/>
      <c r="K787" s="76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spans="1:26" ht="15.75" customHeight="1" x14ac:dyDescent="0.25">
      <c r="A788" s="62"/>
      <c r="B788" s="62"/>
      <c r="C788" s="76"/>
      <c r="D788" s="77"/>
      <c r="E788" s="62"/>
      <c r="F788" s="62"/>
      <c r="G788" s="76"/>
      <c r="H788" s="76"/>
      <c r="I788" s="76"/>
      <c r="J788" s="76"/>
      <c r="K788" s="76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spans="1:26" ht="15.75" customHeight="1" x14ac:dyDescent="0.25">
      <c r="A789" s="62"/>
      <c r="B789" s="62"/>
      <c r="C789" s="76"/>
      <c r="D789" s="77"/>
      <c r="E789" s="62"/>
      <c r="F789" s="62"/>
      <c r="G789" s="76"/>
      <c r="H789" s="76"/>
      <c r="I789" s="76"/>
      <c r="J789" s="76"/>
      <c r="K789" s="76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spans="1:26" ht="15.75" customHeight="1" x14ac:dyDescent="0.25">
      <c r="A790" s="62"/>
      <c r="B790" s="62"/>
      <c r="C790" s="76"/>
      <c r="D790" s="77"/>
      <c r="E790" s="62"/>
      <c r="F790" s="62"/>
      <c r="G790" s="76"/>
      <c r="H790" s="76"/>
      <c r="I790" s="76"/>
      <c r="J790" s="76"/>
      <c r="K790" s="76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spans="1:26" ht="15.75" customHeight="1" x14ac:dyDescent="0.25">
      <c r="A791" s="62"/>
      <c r="B791" s="62"/>
      <c r="C791" s="76"/>
      <c r="D791" s="77"/>
      <c r="E791" s="62"/>
      <c r="F791" s="62"/>
      <c r="G791" s="76"/>
      <c r="H791" s="76"/>
      <c r="I791" s="76"/>
      <c r="J791" s="76"/>
      <c r="K791" s="76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spans="1:26" ht="15.75" customHeight="1" x14ac:dyDescent="0.25">
      <c r="A792" s="62"/>
      <c r="B792" s="62"/>
      <c r="C792" s="76"/>
      <c r="D792" s="77"/>
      <c r="E792" s="62"/>
      <c r="F792" s="62"/>
      <c r="G792" s="76"/>
      <c r="H792" s="76"/>
      <c r="I792" s="76"/>
      <c r="J792" s="76"/>
      <c r="K792" s="76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spans="1:26" ht="15.75" customHeight="1" x14ac:dyDescent="0.25">
      <c r="A793" s="62"/>
      <c r="B793" s="62"/>
      <c r="C793" s="76"/>
      <c r="D793" s="77"/>
      <c r="E793" s="62"/>
      <c r="F793" s="62"/>
      <c r="G793" s="76"/>
      <c r="H793" s="76"/>
      <c r="I793" s="76"/>
      <c r="J793" s="76"/>
      <c r="K793" s="76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spans="1:26" ht="15.75" customHeight="1" x14ac:dyDescent="0.25">
      <c r="A794" s="62"/>
      <c r="B794" s="62"/>
      <c r="C794" s="76"/>
      <c r="D794" s="77"/>
      <c r="E794" s="62"/>
      <c r="F794" s="62"/>
      <c r="G794" s="76"/>
      <c r="H794" s="76"/>
      <c r="I794" s="76"/>
      <c r="J794" s="76"/>
      <c r="K794" s="76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spans="1:26" ht="15.75" customHeight="1" x14ac:dyDescent="0.25">
      <c r="A795" s="62"/>
      <c r="B795" s="62"/>
      <c r="C795" s="76"/>
      <c r="D795" s="77"/>
      <c r="E795" s="62"/>
      <c r="F795" s="62"/>
      <c r="G795" s="76"/>
      <c r="H795" s="76"/>
      <c r="I795" s="76"/>
      <c r="J795" s="76"/>
      <c r="K795" s="76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spans="1:26" ht="15.75" customHeight="1" x14ac:dyDescent="0.25">
      <c r="A796" s="62"/>
      <c r="B796" s="62"/>
      <c r="C796" s="76"/>
      <c r="D796" s="77"/>
      <c r="E796" s="62"/>
      <c r="F796" s="62"/>
      <c r="G796" s="76"/>
      <c r="H796" s="76"/>
      <c r="I796" s="76"/>
      <c r="J796" s="76"/>
      <c r="K796" s="76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spans="1:26" ht="15.75" customHeight="1" x14ac:dyDescent="0.25">
      <c r="A797" s="62"/>
      <c r="B797" s="62"/>
      <c r="C797" s="76"/>
      <c r="D797" s="77"/>
      <c r="E797" s="62"/>
      <c r="F797" s="62"/>
      <c r="G797" s="76"/>
      <c r="H797" s="76"/>
      <c r="I797" s="76"/>
      <c r="J797" s="76"/>
      <c r="K797" s="76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spans="1:26" ht="15.75" customHeight="1" x14ac:dyDescent="0.25">
      <c r="A798" s="62"/>
      <c r="B798" s="62"/>
      <c r="C798" s="76"/>
      <c r="D798" s="77"/>
      <c r="E798" s="62"/>
      <c r="F798" s="62"/>
      <c r="G798" s="76"/>
      <c r="H798" s="76"/>
      <c r="I798" s="76"/>
      <c r="J798" s="76"/>
      <c r="K798" s="76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spans="1:26" ht="15.75" customHeight="1" x14ac:dyDescent="0.25">
      <c r="A799" s="62"/>
      <c r="B799" s="62"/>
      <c r="C799" s="76"/>
      <c r="D799" s="77"/>
      <c r="E799" s="62"/>
      <c r="F799" s="62"/>
      <c r="G799" s="76"/>
      <c r="H799" s="76"/>
      <c r="I799" s="76"/>
      <c r="J799" s="76"/>
      <c r="K799" s="76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spans="1:26" ht="15.75" customHeight="1" x14ac:dyDescent="0.25">
      <c r="A800" s="62"/>
      <c r="B800" s="62"/>
      <c r="C800" s="76"/>
      <c r="D800" s="77"/>
      <c r="E800" s="62"/>
      <c r="F800" s="62"/>
      <c r="G800" s="76"/>
      <c r="H800" s="76"/>
      <c r="I800" s="76"/>
      <c r="J800" s="76"/>
      <c r="K800" s="76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spans="1:26" ht="15.75" customHeight="1" x14ac:dyDescent="0.25">
      <c r="A801" s="62"/>
      <c r="B801" s="62"/>
      <c r="C801" s="76"/>
      <c r="D801" s="77"/>
      <c r="E801" s="62"/>
      <c r="F801" s="62"/>
      <c r="G801" s="76"/>
      <c r="H801" s="76"/>
      <c r="I801" s="76"/>
      <c r="J801" s="76"/>
      <c r="K801" s="76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spans="1:26" ht="15.75" customHeight="1" x14ac:dyDescent="0.25">
      <c r="A802" s="62"/>
      <c r="B802" s="62"/>
      <c r="C802" s="76"/>
      <c r="D802" s="77"/>
      <c r="E802" s="62"/>
      <c r="F802" s="62"/>
      <c r="G802" s="76"/>
      <c r="H802" s="76"/>
      <c r="I802" s="76"/>
      <c r="J802" s="76"/>
      <c r="K802" s="76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spans="1:26" ht="15.75" customHeight="1" x14ac:dyDescent="0.25">
      <c r="A803" s="62"/>
      <c r="B803" s="62"/>
      <c r="C803" s="76"/>
      <c r="D803" s="77"/>
      <c r="E803" s="62"/>
      <c r="F803" s="62"/>
      <c r="G803" s="76"/>
      <c r="H803" s="76"/>
      <c r="I803" s="76"/>
      <c r="J803" s="76"/>
      <c r="K803" s="76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spans="1:26" ht="15.75" customHeight="1" x14ac:dyDescent="0.25">
      <c r="A804" s="62"/>
      <c r="B804" s="62"/>
      <c r="C804" s="76"/>
      <c r="D804" s="77"/>
      <c r="E804" s="62"/>
      <c r="F804" s="62"/>
      <c r="G804" s="76"/>
      <c r="H804" s="76"/>
      <c r="I804" s="76"/>
      <c r="J804" s="76"/>
      <c r="K804" s="76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spans="1:26" ht="15.75" customHeight="1" x14ac:dyDescent="0.25">
      <c r="A805" s="62"/>
      <c r="B805" s="62"/>
      <c r="C805" s="76"/>
      <c r="D805" s="77"/>
      <c r="E805" s="62"/>
      <c r="F805" s="62"/>
      <c r="G805" s="76"/>
      <c r="H805" s="76"/>
      <c r="I805" s="76"/>
      <c r="J805" s="76"/>
      <c r="K805" s="76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spans="1:26" ht="15.75" customHeight="1" x14ac:dyDescent="0.25">
      <c r="A806" s="62"/>
      <c r="B806" s="62"/>
      <c r="C806" s="76"/>
      <c r="D806" s="77"/>
      <c r="E806" s="62"/>
      <c r="F806" s="62"/>
      <c r="G806" s="76"/>
      <c r="H806" s="76"/>
      <c r="I806" s="76"/>
      <c r="J806" s="76"/>
      <c r="K806" s="76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spans="1:26" ht="15.75" customHeight="1" x14ac:dyDescent="0.25">
      <c r="A807" s="62"/>
      <c r="B807" s="62"/>
      <c r="C807" s="76"/>
      <c r="D807" s="77"/>
      <c r="E807" s="62"/>
      <c r="F807" s="62"/>
      <c r="G807" s="76"/>
      <c r="H807" s="76"/>
      <c r="I807" s="76"/>
      <c r="J807" s="76"/>
      <c r="K807" s="76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spans="1:26" ht="15.75" customHeight="1" x14ac:dyDescent="0.25">
      <c r="A808" s="62"/>
      <c r="B808" s="62"/>
      <c r="C808" s="76"/>
      <c r="D808" s="77"/>
      <c r="E808" s="62"/>
      <c r="F808" s="62"/>
      <c r="G808" s="76"/>
      <c r="H808" s="76"/>
      <c r="I808" s="76"/>
      <c r="J808" s="76"/>
      <c r="K808" s="76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spans="1:26" ht="15.75" customHeight="1" x14ac:dyDescent="0.25">
      <c r="A809" s="62"/>
      <c r="B809" s="62"/>
      <c r="C809" s="76"/>
      <c r="D809" s="77"/>
      <c r="E809" s="62"/>
      <c r="F809" s="62"/>
      <c r="G809" s="76"/>
      <c r="H809" s="76"/>
      <c r="I809" s="76"/>
      <c r="J809" s="76"/>
      <c r="K809" s="76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spans="1:26" ht="15.75" customHeight="1" x14ac:dyDescent="0.25">
      <c r="A810" s="62"/>
      <c r="B810" s="62"/>
      <c r="C810" s="76"/>
      <c r="D810" s="77"/>
      <c r="E810" s="62"/>
      <c r="F810" s="62"/>
      <c r="G810" s="76"/>
      <c r="H810" s="76"/>
      <c r="I810" s="76"/>
      <c r="J810" s="76"/>
      <c r="K810" s="76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spans="1:26" ht="15.75" customHeight="1" x14ac:dyDescent="0.25">
      <c r="A811" s="62"/>
      <c r="B811" s="62"/>
      <c r="C811" s="76"/>
      <c r="D811" s="77"/>
      <c r="E811" s="62"/>
      <c r="F811" s="62"/>
      <c r="G811" s="76"/>
      <c r="H811" s="76"/>
      <c r="I811" s="76"/>
      <c r="J811" s="76"/>
      <c r="K811" s="76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spans="1:26" ht="15.75" customHeight="1" x14ac:dyDescent="0.25">
      <c r="A812" s="62"/>
      <c r="B812" s="62"/>
      <c r="C812" s="76"/>
      <c r="D812" s="77"/>
      <c r="E812" s="62"/>
      <c r="F812" s="62"/>
      <c r="G812" s="76"/>
      <c r="H812" s="76"/>
      <c r="I812" s="76"/>
      <c r="J812" s="76"/>
      <c r="K812" s="76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spans="1:26" ht="15.75" customHeight="1" x14ac:dyDescent="0.25">
      <c r="A813" s="62"/>
      <c r="B813" s="62"/>
      <c r="C813" s="76"/>
      <c r="D813" s="77"/>
      <c r="E813" s="62"/>
      <c r="F813" s="62"/>
      <c r="G813" s="76"/>
      <c r="H813" s="76"/>
      <c r="I813" s="76"/>
      <c r="J813" s="76"/>
      <c r="K813" s="76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spans="1:26" ht="15.75" customHeight="1" x14ac:dyDescent="0.25">
      <c r="A814" s="62"/>
      <c r="B814" s="62"/>
      <c r="C814" s="76"/>
      <c r="D814" s="77"/>
      <c r="E814" s="62"/>
      <c r="F814" s="62"/>
      <c r="G814" s="76"/>
      <c r="H814" s="76"/>
      <c r="I814" s="76"/>
      <c r="J814" s="76"/>
      <c r="K814" s="76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spans="1:26" ht="15.75" customHeight="1" x14ac:dyDescent="0.25">
      <c r="A815" s="62"/>
      <c r="B815" s="62"/>
      <c r="C815" s="76"/>
      <c r="D815" s="77"/>
      <c r="E815" s="62"/>
      <c r="F815" s="62"/>
      <c r="G815" s="76"/>
      <c r="H815" s="76"/>
      <c r="I815" s="76"/>
      <c r="J815" s="76"/>
      <c r="K815" s="76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spans="1:26" ht="15.75" customHeight="1" x14ac:dyDescent="0.25">
      <c r="A816" s="62"/>
      <c r="B816" s="62"/>
      <c r="C816" s="76"/>
      <c r="D816" s="77"/>
      <c r="E816" s="62"/>
      <c r="F816" s="62"/>
      <c r="G816" s="76"/>
      <c r="H816" s="76"/>
      <c r="I816" s="76"/>
      <c r="J816" s="76"/>
      <c r="K816" s="76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spans="1:26" ht="15.75" customHeight="1" x14ac:dyDescent="0.25">
      <c r="A817" s="62"/>
      <c r="B817" s="62"/>
      <c r="C817" s="76"/>
      <c r="D817" s="77"/>
      <c r="E817" s="62"/>
      <c r="F817" s="62"/>
      <c r="G817" s="76"/>
      <c r="H817" s="76"/>
      <c r="I817" s="76"/>
      <c r="J817" s="76"/>
      <c r="K817" s="76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spans="1:26" ht="15.75" customHeight="1" x14ac:dyDescent="0.25">
      <c r="A818" s="62"/>
      <c r="B818" s="62"/>
      <c r="C818" s="76"/>
      <c r="D818" s="77"/>
      <c r="E818" s="62"/>
      <c r="F818" s="62"/>
      <c r="G818" s="76"/>
      <c r="H818" s="76"/>
      <c r="I818" s="76"/>
      <c r="J818" s="76"/>
      <c r="K818" s="76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spans="1:26" ht="15.75" customHeight="1" x14ac:dyDescent="0.25">
      <c r="A819" s="62"/>
      <c r="B819" s="62"/>
      <c r="C819" s="76"/>
      <c r="D819" s="77"/>
      <c r="E819" s="62"/>
      <c r="F819" s="62"/>
      <c r="G819" s="76"/>
      <c r="H819" s="76"/>
      <c r="I819" s="76"/>
      <c r="J819" s="76"/>
      <c r="K819" s="76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spans="1:26" ht="15.75" customHeight="1" x14ac:dyDescent="0.25">
      <c r="A820" s="62"/>
      <c r="B820" s="62"/>
      <c r="C820" s="76"/>
      <c r="D820" s="77"/>
      <c r="E820" s="62"/>
      <c r="F820" s="62"/>
      <c r="G820" s="76"/>
      <c r="H820" s="76"/>
      <c r="I820" s="76"/>
      <c r="J820" s="76"/>
      <c r="K820" s="76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spans="1:26" ht="15.75" customHeight="1" x14ac:dyDescent="0.25">
      <c r="A821" s="62"/>
      <c r="B821" s="62"/>
      <c r="C821" s="76"/>
      <c r="D821" s="77"/>
      <c r="E821" s="62"/>
      <c r="F821" s="62"/>
      <c r="G821" s="76"/>
      <c r="H821" s="76"/>
      <c r="I821" s="76"/>
      <c r="J821" s="76"/>
      <c r="K821" s="76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spans="1:26" ht="15.75" customHeight="1" x14ac:dyDescent="0.25">
      <c r="A822" s="62"/>
      <c r="B822" s="62"/>
      <c r="C822" s="76"/>
      <c r="D822" s="77"/>
      <c r="E822" s="62"/>
      <c r="F822" s="62"/>
      <c r="G822" s="76"/>
      <c r="H822" s="76"/>
      <c r="I822" s="76"/>
      <c r="J822" s="76"/>
      <c r="K822" s="76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spans="1:26" ht="15.75" customHeight="1" x14ac:dyDescent="0.25">
      <c r="A823" s="62"/>
      <c r="B823" s="62"/>
      <c r="C823" s="76"/>
      <c r="D823" s="77"/>
      <c r="E823" s="62"/>
      <c r="F823" s="62"/>
      <c r="G823" s="76"/>
      <c r="H823" s="76"/>
      <c r="I823" s="76"/>
      <c r="J823" s="76"/>
      <c r="K823" s="76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spans="1:26" ht="15.75" customHeight="1" x14ac:dyDescent="0.25">
      <c r="A824" s="62"/>
      <c r="B824" s="62"/>
      <c r="C824" s="76"/>
      <c r="D824" s="77"/>
      <c r="E824" s="62"/>
      <c r="F824" s="62"/>
      <c r="G824" s="76"/>
      <c r="H824" s="76"/>
      <c r="I824" s="76"/>
      <c r="J824" s="76"/>
      <c r="K824" s="76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spans="1:26" ht="15.75" customHeight="1" x14ac:dyDescent="0.25">
      <c r="A825" s="62"/>
      <c r="B825" s="62"/>
      <c r="C825" s="76"/>
      <c r="D825" s="77"/>
      <c r="E825" s="62"/>
      <c r="F825" s="62"/>
      <c r="G825" s="76"/>
      <c r="H825" s="76"/>
      <c r="I825" s="76"/>
      <c r="J825" s="76"/>
      <c r="K825" s="76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spans="1:26" ht="15.75" customHeight="1" x14ac:dyDescent="0.25">
      <c r="A826" s="62"/>
      <c r="B826" s="62"/>
      <c r="C826" s="76"/>
      <c r="D826" s="77"/>
      <c r="E826" s="62"/>
      <c r="F826" s="62"/>
      <c r="G826" s="76"/>
      <c r="H826" s="76"/>
      <c r="I826" s="76"/>
      <c r="J826" s="76"/>
      <c r="K826" s="76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spans="1:26" ht="15.75" customHeight="1" x14ac:dyDescent="0.25">
      <c r="A827" s="62"/>
      <c r="B827" s="62"/>
      <c r="C827" s="76"/>
      <c r="D827" s="77"/>
      <c r="E827" s="62"/>
      <c r="F827" s="62"/>
      <c r="G827" s="76"/>
      <c r="H827" s="76"/>
      <c r="I827" s="76"/>
      <c r="J827" s="76"/>
      <c r="K827" s="76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spans="1:26" ht="15.75" customHeight="1" x14ac:dyDescent="0.25">
      <c r="A828" s="62"/>
      <c r="B828" s="62"/>
      <c r="C828" s="76"/>
      <c r="D828" s="77"/>
      <c r="E828" s="62"/>
      <c r="F828" s="62"/>
      <c r="G828" s="76"/>
      <c r="H828" s="76"/>
      <c r="I828" s="76"/>
      <c r="J828" s="76"/>
      <c r="K828" s="76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spans="1:26" ht="15.75" customHeight="1" x14ac:dyDescent="0.25">
      <c r="A829" s="62"/>
      <c r="B829" s="62"/>
      <c r="C829" s="76"/>
      <c r="D829" s="77"/>
      <c r="E829" s="62"/>
      <c r="F829" s="62"/>
      <c r="G829" s="76"/>
      <c r="H829" s="76"/>
      <c r="I829" s="76"/>
      <c r="J829" s="76"/>
      <c r="K829" s="76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spans="1:26" ht="15.75" customHeight="1" x14ac:dyDescent="0.25">
      <c r="A830" s="62"/>
      <c r="B830" s="62"/>
      <c r="C830" s="76"/>
      <c r="D830" s="77"/>
      <c r="E830" s="62"/>
      <c r="F830" s="62"/>
      <c r="G830" s="76"/>
      <c r="H830" s="76"/>
      <c r="I830" s="76"/>
      <c r="J830" s="76"/>
      <c r="K830" s="76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spans="1:26" ht="15.75" customHeight="1" x14ac:dyDescent="0.25">
      <c r="A831" s="62"/>
      <c r="B831" s="62"/>
      <c r="C831" s="76"/>
      <c r="D831" s="77"/>
      <c r="E831" s="62"/>
      <c r="F831" s="62"/>
      <c r="G831" s="76"/>
      <c r="H831" s="76"/>
      <c r="I831" s="76"/>
      <c r="J831" s="76"/>
      <c r="K831" s="76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spans="1:26" ht="15.75" customHeight="1" x14ac:dyDescent="0.25">
      <c r="A832" s="62"/>
      <c r="B832" s="62"/>
      <c r="C832" s="76"/>
      <c r="D832" s="77"/>
      <c r="E832" s="62"/>
      <c r="F832" s="62"/>
      <c r="G832" s="76"/>
      <c r="H832" s="76"/>
      <c r="I832" s="76"/>
      <c r="J832" s="76"/>
      <c r="K832" s="76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spans="1:26" ht="15.75" customHeight="1" x14ac:dyDescent="0.25">
      <c r="A833" s="62"/>
      <c r="B833" s="62"/>
      <c r="C833" s="76"/>
      <c r="D833" s="77"/>
      <c r="E833" s="62"/>
      <c r="F833" s="62"/>
      <c r="G833" s="76"/>
      <c r="H833" s="76"/>
      <c r="I833" s="76"/>
      <c r="J833" s="76"/>
      <c r="K833" s="76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spans="1:26" ht="15.75" customHeight="1" x14ac:dyDescent="0.25">
      <c r="A834" s="62"/>
      <c r="B834" s="62"/>
      <c r="C834" s="76"/>
      <c r="D834" s="77"/>
      <c r="E834" s="62"/>
      <c r="F834" s="62"/>
      <c r="G834" s="76"/>
      <c r="H834" s="76"/>
      <c r="I834" s="76"/>
      <c r="J834" s="76"/>
      <c r="K834" s="76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spans="1:26" ht="15.75" customHeight="1" x14ac:dyDescent="0.25">
      <c r="A835" s="62"/>
      <c r="B835" s="62"/>
      <c r="C835" s="76"/>
      <c r="D835" s="77"/>
      <c r="E835" s="62"/>
      <c r="F835" s="62"/>
      <c r="G835" s="76"/>
      <c r="H835" s="76"/>
      <c r="I835" s="76"/>
      <c r="J835" s="76"/>
      <c r="K835" s="76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spans="1:26" ht="15.75" customHeight="1" x14ac:dyDescent="0.25">
      <c r="A836" s="62"/>
      <c r="B836" s="62"/>
      <c r="C836" s="76"/>
      <c r="D836" s="77"/>
      <c r="E836" s="62"/>
      <c r="F836" s="62"/>
      <c r="G836" s="76"/>
      <c r="H836" s="76"/>
      <c r="I836" s="76"/>
      <c r="J836" s="76"/>
      <c r="K836" s="76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spans="1:26" ht="15.75" customHeight="1" x14ac:dyDescent="0.25">
      <c r="A837" s="62"/>
      <c r="B837" s="62"/>
      <c r="C837" s="76"/>
      <c r="D837" s="77"/>
      <c r="E837" s="62"/>
      <c r="F837" s="62"/>
      <c r="G837" s="76"/>
      <c r="H837" s="76"/>
      <c r="I837" s="76"/>
      <c r="J837" s="76"/>
      <c r="K837" s="76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spans="1:26" ht="15.75" customHeight="1" x14ac:dyDescent="0.25">
      <c r="A838" s="62"/>
      <c r="B838" s="62"/>
      <c r="C838" s="76"/>
      <c r="D838" s="77"/>
      <c r="E838" s="62"/>
      <c r="F838" s="62"/>
      <c r="G838" s="76"/>
      <c r="H838" s="76"/>
      <c r="I838" s="76"/>
      <c r="J838" s="76"/>
      <c r="K838" s="76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spans="1:26" ht="15.75" customHeight="1" x14ac:dyDescent="0.25">
      <c r="A839" s="62"/>
      <c r="B839" s="62"/>
      <c r="C839" s="76"/>
      <c r="D839" s="77"/>
      <c r="E839" s="62"/>
      <c r="F839" s="62"/>
      <c r="G839" s="76"/>
      <c r="H839" s="76"/>
      <c r="I839" s="76"/>
      <c r="J839" s="76"/>
      <c r="K839" s="76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spans="1:26" ht="15.75" customHeight="1" x14ac:dyDescent="0.25">
      <c r="A840" s="62"/>
      <c r="B840" s="62"/>
      <c r="C840" s="76"/>
      <c r="D840" s="77"/>
      <c r="E840" s="62"/>
      <c r="F840" s="62"/>
      <c r="G840" s="76"/>
      <c r="H840" s="76"/>
      <c r="I840" s="76"/>
      <c r="J840" s="76"/>
      <c r="K840" s="76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spans="1:26" ht="15.75" customHeight="1" x14ac:dyDescent="0.25">
      <c r="A841" s="62"/>
      <c r="B841" s="62"/>
      <c r="C841" s="76"/>
      <c r="D841" s="77"/>
      <c r="E841" s="62"/>
      <c r="F841" s="62"/>
      <c r="G841" s="76"/>
      <c r="H841" s="76"/>
      <c r="I841" s="76"/>
      <c r="J841" s="76"/>
      <c r="K841" s="76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spans="1:26" ht="15.75" customHeight="1" x14ac:dyDescent="0.25">
      <c r="A842" s="62"/>
      <c r="B842" s="62"/>
      <c r="C842" s="76"/>
      <c r="D842" s="77"/>
      <c r="E842" s="62"/>
      <c r="F842" s="62"/>
      <c r="G842" s="76"/>
      <c r="H842" s="76"/>
      <c r="I842" s="76"/>
      <c r="J842" s="76"/>
      <c r="K842" s="76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spans="1:26" ht="15.75" customHeight="1" x14ac:dyDescent="0.25">
      <c r="A843" s="62"/>
      <c r="B843" s="62"/>
      <c r="C843" s="76"/>
      <c r="D843" s="77"/>
      <c r="E843" s="62"/>
      <c r="F843" s="62"/>
      <c r="G843" s="76"/>
      <c r="H843" s="76"/>
      <c r="I843" s="76"/>
      <c r="J843" s="76"/>
      <c r="K843" s="76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spans="1:26" ht="15.75" customHeight="1" x14ac:dyDescent="0.25">
      <c r="A844" s="62"/>
      <c r="B844" s="62"/>
      <c r="C844" s="76"/>
      <c r="D844" s="77"/>
      <c r="E844" s="62"/>
      <c r="F844" s="62"/>
      <c r="G844" s="76"/>
      <c r="H844" s="76"/>
      <c r="I844" s="76"/>
      <c r="J844" s="76"/>
      <c r="K844" s="76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spans="1:26" ht="15.75" customHeight="1" x14ac:dyDescent="0.25">
      <c r="A845" s="62"/>
      <c r="B845" s="62"/>
      <c r="C845" s="76"/>
      <c r="D845" s="77"/>
      <c r="E845" s="62"/>
      <c r="F845" s="62"/>
      <c r="G845" s="76"/>
      <c r="H845" s="76"/>
      <c r="I845" s="76"/>
      <c r="J845" s="76"/>
      <c r="K845" s="76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spans="1:26" ht="15.75" customHeight="1" x14ac:dyDescent="0.25">
      <c r="A846" s="62"/>
      <c r="B846" s="62"/>
      <c r="C846" s="76"/>
      <c r="D846" s="77"/>
      <c r="E846" s="62"/>
      <c r="F846" s="62"/>
      <c r="G846" s="76"/>
      <c r="H846" s="76"/>
      <c r="I846" s="76"/>
      <c r="J846" s="76"/>
      <c r="K846" s="76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spans="1:26" ht="15.75" customHeight="1" x14ac:dyDescent="0.25">
      <c r="A847" s="62"/>
      <c r="B847" s="62"/>
      <c r="C847" s="76"/>
      <c r="D847" s="77"/>
      <c r="E847" s="62"/>
      <c r="F847" s="62"/>
      <c r="G847" s="76"/>
      <c r="H847" s="76"/>
      <c r="I847" s="76"/>
      <c r="J847" s="76"/>
      <c r="K847" s="76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spans="1:26" ht="15.75" customHeight="1" x14ac:dyDescent="0.25">
      <c r="A848" s="62"/>
      <c r="B848" s="62"/>
      <c r="C848" s="76"/>
      <c r="D848" s="77"/>
      <c r="E848" s="62"/>
      <c r="F848" s="62"/>
      <c r="G848" s="76"/>
      <c r="H848" s="76"/>
      <c r="I848" s="76"/>
      <c r="J848" s="76"/>
      <c r="K848" s="76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spans="1:26" ht="15.75" customHeight="1" x14ac:dyDescent="0.25">
      <c r="A849" s="62"/>
      <c r="B849" s="62"/>
      <c r="C849" s="76"/>
      <c r="D849" s="77"/>
      <c r="E849" s="62"/>
      <c r="F849" s="62"/>
      <c r="G849" s="76"/>
      <c r="H849" s="76"/>
      <c r="I849" s="76"/>
      <c r="J849" s="76"/>
      <c r="K849" s="76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spans="1:26" ht="15.75" customHeight="1" x14ac:dyDescent="0.25">
      <c r="A850" s="62"/>
      <c r="B850" s="62"/>
      <c r="C850" s="76"/>
      <c r="D850" s="77"/>
      <c r="E850" s="62"/>
      <c r="F850" s="62"/>
      <c r="G850" s="76"/>
      <c r="H850" s="76"/>
      <c r="I850" s="76"/>
      <c r="J850" s="76"/>
      <c r="K850" s="76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spans="1:26" ht="15.75" customHeight="1" x14ac:dyDescent="0.25">
      <c r="A851" s="62"/>
      <c r="B851" s="62"/>
      <c r="C851" s="76"/>
      <c r="D851" s="77"/>
      <c r="E851" s="62"/>
      <c r="F851" s="62"/>
      <c r="G851" s="76"/>
      <c r="H851" s="76"/>
      <c r="I851" s="76"/>
      <c r="J851" s="76"/>
      <c r="K851" s="76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spans="1:26" ht="15.75" customHeight="1" x14ac:dyDescent="0.25">
      <c r="A852" s="62"/>
      <c r="B852" s="62"/>
      <c r="C852" s="76"/>
      <c r="D852" s="77"/>
      <c r="E852" s="62"/>
      <c r="F852" s="62"/>
      <c r="G852" s="76"/>
      <c r="H852" s="76"/>
      <c r="I852" s="76"/>
      <c r="J852" s="76"/>
      <c r="K852" s="76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spans="1:26" ht="15.75" customHeight="1" x14ac:dyDescent="0.25">
      <c r="A853" s="62"/>
      <c r="B853" s="62"/>
      <c r="C853" s="76"/>
      <c r="D853" s="77"/>
      <c r="E853" s="62"/>
      <c r="F853" s="62"/>
      <c r="G853" s="76"/>
      <c r="H853" s="76"/>
      <c r="I853" s="76"/>
      <c r="J853" s="76"/>
      <c r="K853" s="76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spans="1:26" ht="15.75" customHeight="1" x14ac:dyDescent="0.25">
      <c r="A854" s="62"/>
      <c r="B854" s="62"/>
      <c r="C854" s="76"/>
      <c r="D854" s="77"/>
      <c r="E854" s="62"/>
      <c r="F854" s="62"/>
      <c r="G854" s="76"/>
      <c r="H854" s="76"/>
      <c r="I854" s="76"/>
      <c r="J854" s="76"/>
      <c r="K854" s="76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spans="1:26" ht="15.75" customHeight="1" x14ac:dyDescent="0.25">
      <c r="A855" s="62"/>
      <c r="B855" s="62"/>
      <c r="C855" s="76"/>
      <c r="D855" s="77"/>
      <c r="E855" s="62"/>
      <c r="F855" s="62"/>
      <c r="G855" s="76"/>
      <c r="H855" s="76"/>
      <c r="I855" s="76"/>
      <c r="J855" s="76"/>
      <c r="K855" s="76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spans="1:26" ht="15.75" customHeight="1" x14ac:dyDescent="0.25">
      <c r="A856" s="62"/>
      <c r="B856" s="62"/>
      <c r="C856" s="76"/>
      <c r="D856" s="77"/>
      <c r="E856" s="62"/>
      <c r="F856" s="62"/>
      <c r="G856" s="76"/>
      <c r="H856" s="76"/>
      <c r="I856" s="76"/>
      <c r="J856" s="76"/>
      <c r="K856" s="76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spans="1:26" ht="15.75" customHeight="1" x14ac:dyDescent="0.25">
      <c r="A857" s="62"/>
      <c r="B857" s="62"/>
      <c r="C857" s="76"/>
      <c r="D857" s="77"/>
      <c r="E857" s="62"/>
      <c r="F857" s="62"/>
      <c r="G857" s="76"/>
      <c r="H857" s="76"/>
      <c r="I857" s="76"/>
      <c r="J857" s="76"/>
      <c r="K857" s="76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spans="1:26" ht="15.75" customHeight="1" x14ac:dyDescent="0.25">
      <c r="A858" s="62"/>
      <c r="B858" s="62"/>
      <c r="C858" s="76"/>
      <c r="D858" s="77"/>
      <c r="E858" s="62"/>
      <c r="F858" s="62"/>
      <c r="G858" s="76"/>
      <c r="H858" s="76"/>
      <c r="I858" s="76"/>
      <c r="J858" s="76"/>
      <c r="K858" s="76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spans="1:26" ht="15.75" customHeight="1" x14ac:dyDescent="0.25">
      <c r="A859" s="62"/>
      <c r="B859" s="62"/>
      <c r="C859" s="76"/>
      <c r="D859" s="77"/>
      <c r="E859" s="62"/>
      <c r="F859" s="62"/>
      <c r="G859" s="76"/>
      <c r="H859" s="76"/>
      <c r="I859" s="76"/>
      <c r="J859" s="76"/>
      <c r="K859" s="76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spans="1:26" ht="15.75" customHeight="1" x14ac:dyDescent="0.25">
      <c r="A860" s="62"/>
      <c r="B860" s="62"/>
      <c r="C860" s="76"/>
      <c r="D860" s="77"/>
      <c r="E860" s="62"/>
      <c r="F860" s="62"/>
      <c r="G860" s="76"/>
      <c r="H860" s="76"/>
      <c r="I860" s="76"/>
      <c r="J860" s="76"/>
      <c r="K860" s="76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spans="1:26" ht="15.75" customHeight="1" x14ac:dyDescent="0.25">
      <c r="A861" s="62"/>
      <c r="B861" s="62"/>
      <c r="C861" s="76"/>
      <c r="D861" s="77"/>
      <c r="E861" s="62"/>
      <c r="F861" s="62"/>
      <c r="G861" s="76"/>
      <c r="H861" s="76"/>
      <c r="I861" s="76"/>
      <c r="J861" s="76"/>
      <c r="K861" s="76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spans="1:26" ht="15.75" customHeight="1" x14ac:dyDescent="0.25">
      <c r="A862" s="62"/>
      <c r="B862" s="62"/>
      <c r="C862" s="76"/>
      <c r="D862" s="77"/>
      <c r="E862" s="62"/>
      <c r="F862" s="62"/>
      <c r="G862" s="76"/>
      <c r="H862" s="76"/>
      <c r="I862" s="76"/>
      <c r="J862" s="76"/>
      <c r="K862" s="76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spans="1:26" ht="15.75" customHeight="1" x14ac:dyDescent="0.25">
      <c r="A863" s="62"/>
      <c r="B863" s="62"/>
      <c r="C863" s="76"/>
      <c r="D863" s="77"/>
      <c r="E863" s="62"/>
      <c r="F863" s="62"/>
      <c r="G863" s="76"/>
      <c r="H863" s="76"/>
      <c r="I863" s="76"/>
      <c r="J863" s="76"/>
      <c r="K863" s="76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spans="1:26" ht="15.75" customHeight="1" x14ac:dyDescent="0.25">
      <c r="A864" s="62"/>
      <c r="B864" s="62"/>
      <c r="C864" s="76"/>
      <c r="D864" s="77"/>
      <c r="E864" s="62"/>
      <c r="F864" s="62"/>
      <c r="G864" s="76"/>
      <c r="H864" s="76"/>
      <c r="I864" s="76"/>
      <c r="J864" s="76"/>
      <c r="K864" s="76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spans="1:26" ht="15.75" customHeight="1" x14ac:dyDescent="0.25">
      <c r="A865" s="62"/>
      <c r="B865" s="62"/>
      <c r="C865" s="76"/>
      <c r="D865" s="77"/>
      <c r="E865" s="62"/>
      <c r="F865" s="62"/>
      <c r="G865" s="76"/>
      <c r="H865" s="76"/>
      <c r="I865" s="76"/>
      <c r="J865" s="76"/>
      <c r="K865" s="76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spans="1:26" ht="15.75" customHeight="1" x14ac:dyDescent="0.25">
      <c r="A866" s="62"/>
      <c r="B866" s="62"/>
      <c r="C866" s="76"/>
      <c r="D866" s="77"/>
      <c r="E866" s="62"/>
      <c r="F866" s="62"/>
      <c r="G866" s="76"/>
      <c r="H866" s="76"/>
      <c r="I866" s="76"/>
      <c r="J866" s="76"/>
      <c r="K866" s="76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spans="1:26" ht="15.75" customHeight="1" x14ac:dyDescent="0.25">
      <c r="A867" s="62"/>
      <c r="B867" s="62"/>
      <c r="C867" s="76"/>
      <c r="D867" s="77"/>
      <c r="E867" s="62"/>
      <c r="F867" s="62"/>
      <c r="G867" s="76"/>
      <c r="H867" s="76"/>
      <c r="I867" s="76"/>
      <c r="J867" s="76"/>
      <c r="K867" s="76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spans="1:26" ht="15.75" customHeight="1" x14ac:dyDescent="0.25">
      <c r="A868" s="62"/>
      <c r="B868" s="62"/>
      <c r="C868" s="76"/>
      <c r="D868" s="77"/>
      <c r="E868" s="62"/>
      <c r="F868" s="62"/>
      <c r="G868" s="76"/>
      <c r="H868" s="76"/>
      <c r="I868" s="76"/>
      <c r="J868" s="76"/>
      <c r="K868" s="76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spans="1:26" ht="15.75" customHeight="1" x14ac:dyDescent="0.25">
      <c r="A869" s="62"/>
      <c r="B869" s="62"/>
      <c r="C869" s="76"/>
      <c r="D869" s="77"/>
      <c r="E869" s="62"/>
      <c r="F869" s="62"/>
      <c r="G869" s="76"/>
      <c r="H869" s="76"/>
      <c r="I869" s="76"/>
      <c r="J869" s="76"/>
      <c r="K869" s="76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spans="1:26" ht="15.75" customHeight="1" x14ac:dyDescent="0.25">
      <c r="A870" s="62"/>
      <c r="B870" s="62"/>
      <c r="C870" s="76"/>
      <c r="D870" s="77"/>
      <c r="E870" s="62"/>
      <c r="F870" s="62"/>
      <c r="G870" s="76"/>
      <c r="H870" s="76"/>
      <c r="I870" s="76"/>
      <c r="J870" s="76"/>
      <c r="K870" s="76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spans="1:26" ht="15.75" customHeight="1" x14ac:dyDescent="0.25">
      <c r="A871" s="62"/>
      <c r="B871" s="62"/>
      <c r="C871" s="76"/>
      <c r="D871" s="77"/>
      <c r="E871" s="62"/>
      <c r="F871" s="62"/>
      <c r="G871" s="76"/>
      <c r="H871" s="76"/>
      <c r="I871" s="76"/>
      <c r="J871" s="76"/>
      <c r="K871" s="76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spans="1:26" ht="15.75" customHeight="1" x14ac:dyDescent="0.25">
      <c r="A872" s="62"/>
      <c r="B872" s="62"/>
      <c r="C872" s="76"/>
      <c r="D872" s="77"/>
      <c r="E872" s="62"/>
      <c r="F872" s="62"/>
      <c r="G872" s="76"/>
      <c r="H872" s="76"/>
      <c r="I872" s="76"/>
      <c r="J872" s="76"/>
      <c r="K872" s="76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spans="1:26" ht="15.75" customHeight="1" x14ac:dyDescent="0.25">
      <c r="A873" s="62"/>
      <c r="B873" s="62"/>
      <c r="C873" s="76"/>
      <c r="D873" s="77"/>
      <c r="E873" s="62"/>
      <c r="F873" s="62"/>
      <c r="G873" s="76"/>
      <c r="H873" s="76"/>
      <c r="I873" s="76"/>
      <c r="J873" s="76"/>
      <c r="K873" s="76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spans="1:26" ht="15.75" customHeight="1" x14ac:dyDescent="0.25">
      <c r="A874" s="62"/>
      <c r="B874" s="62"/>
      <c r="C874" s="76"/>
      <c r="D874" s="77"/>
      <c r="E874" s="62"/>
      <c r="F874" s="62"/>
      <c r="G874" s="76"/>
      <c r="H874" s="76"/>
      <c r="I874" s="76"/>
      <c r="J874" s="76"/>
      <c r="K874" s="76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spans="1:26" ht="15.75" customHeight="1" x14ac:dyDescent="0.25">
      <c r="A875" s="62"/>
      <c r="B875" s="62"/>
      <c r="C875" s="76"/>
      <c r="D875" s="77"/>
      <c r="E875" s="62"/>
      <c r="F875" s="62"/>
      <c r="G875" s="76"/>
      <c r="H875" s="76"/>
      <c r="I875" s="76"/>
      <c r="J875" s="76"/>
      <c r="K875" s="76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spans="1:26" ht="15.75" customHeight="1" x14ac:dyDescent="0.25">
      <c r="A876" s="62"/>
      <c r="B876" s="62"/>
      <c r="C876" s="76"/>
      <c r="D876" s="77"/>
      <c r="E876" s="62"/>
      <c r="F876" s="62"/>
      <c r="G876" s="76"/>
      <c r="H876" s="76"/>
      <c r="I876" s="76"/>
      <c r="J876" s="76"/>
      <c r="K876" s="76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spans="1:26" ht="15.75" customHeight="1" x14ac:dyDescent="0.25">
      <c r="A877" s="62"/>
      <c r="B877" s="62"/>
      <c r="C877" s="76"/>
      <c r="D877" s="77"/>
      <c r="E877" s="62"/>
      <c r="F877" s="62"/>
      <c r="G877" s="76"/>
      <c r="H877" s="76"/>
      <c r="I877" s="76"/>
      <c r="J877" s="76"/>
      <c r="K877" s="76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spans="1:26" ht="15.75" customHeight="1" x14ac:dyDescent="0.25">
      <c r="A878" s="62"/>
      <c r="B878" s="62"/>
      <c r="C878" s="76"/>
      <c r="D878" s="77"/>
      <c r="E878" s="62"/>
      <c r="F878" s="62"/>
      <c r="G878" s="76"/>
      <c r="H878" s="76"/>
      <c r="I878" s="76"/>
      <c r="J878" s="76"/>
      <c r="K878" s="76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spans="1:26" ht="15.75" customHeight="1" x14ac:dyDescent="0.25">
      <c r="A879" s="62"/>
      <c r="B879" s="62"/>
      <c r="C879" s="76"/>
      <c r="D879" s="77"/>
      <c r="E879" s="62"/>
      <c r="F879" s="62"/>
      <c r="G879" s="76"/>
      <c r="H879" s="76"/>
      <c r="I879" s="76"/>
      <c r="J879" s="76"/>
      <c r="K879" s="76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spans="1:26" ht="15.75" customHeight="1" x14ac:dyDescent="0.25">
      <c r="A880" s="62"/>
      <c r="B880" s="62"/>
      <c r="C880" s="76"/>
      <c r="D880" s="77"/>
      <c r="E880" s="62"/>
      <c r="F880" s="62"/>
      <c r="G880" s="76"/>
      <c r="H880" s="76"/>
      <c r="I880" s="76"/>
      <c r="J880" s="76"/>
      <c r="K880" s="76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spans="1:26" ht="15.75" customHeight="1" x14ac:dyDescent="0.25">
      <c r="A881" s="62"/>
      <c r="B881" s="62"/>
      <c r="C881" s="76"/>
      <c r="D881" s="77"/>
      <c r="E881" s="62"/>
      <c r="F881" s="62"/>
      <c r="G881" s="76"/>
      <c r="H881" s="76"/>
      <c r="I881" s="76"/>
      <c r="J881" s="76"/>
      <c r="K881" s="76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spans="1:26" ht="15.75" customHeight="1" x14ac:dyDescent="0.25">
      <c r="A882" s="62"/>
      <c r="B882" s="62"/>
      <c r="C882" s="76"/>
      <c r="D882" s="77"/>
      <c r="E882" s="62"/>
      <c r="F882" s="62"/>
      <c r="G882" s="76"/>
      <c r="H882" s="76"/>
      <c r="I882" s="76"/>
      <c r="J882" s="76"/>
      <c r="K882" s="76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spans="1:26" ht="15.75" customHeight="1" x14ac:dyDescent="0.25">
      <c r="A883" s="62"/>
      <c r="B883" s="62"/>
      <c r="C883" s="76"/>
      <c r="D883" s="77"/>
      <c r="E883" s="62"/>
      <c r="F883" s="62"/>
      <c r="G883" s="76"/>
      <c r="H883" s="76"/>
      <c r="I883" s="76"/>
      <c r="J883" s="76"/>
      <c r="K883" s="76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spans="1:26" ht="15.75" customHeight="1" x14ac:dyDescent="0.25">
      <c r="A884" s="62"/>
      <c r="B884" s="62"/>
      <c r="C884" s="76"/>
      <c r="D884" s="77"/>
      <c r="E884" s="62"/>
      <c r="F884" s="62"/>
      <c r="G884" s="76"/>
      <c r="H884" s="76"/>
      <c r="I884" s="76"/>
      <c r="J884" s="76"/>
      <c r="K884" s="76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spans="1:26" ht="15.75" customHeight="1" x14ac:dyDescent="0.25">
      <c r="A885" s="62"/>
      <c r="B885" s="62"/>
      <c r="C885" s="76"/>
      <c r="D885" s="77"/>
      <c r="E885" s="62"/>
      <c r="F885" s="62"/>
      <c r="G885" s="76"/>
      <c r="H885" s="76"/>
      <c r="I885" s="76"/>
      <c r="J885" s="76"/>
      <c r="K885" s="76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spans="1:26" ht="15.75" customHeight="1" x14ac:dyDescent="0.25">
      <c r="A886" s="62"/>
      <c r="B886" s="62"/>
      <c r="C886" s="76"/>
      <c r="D886" s="77"/>
      <c r="E886" s="62"/>
      <c r="F886" s="62"/>
      <c r="G886" s="76"/>
      <c r="H886" s="76"/>
      <c r="I886" s="76"/>
      <c r="J886" s="76"/>
      <c r="K886" s="76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spans="1:26" ht="15.75" customHeight="1" x14ac:dyDescent="0.25">
      <c r="A887" s="62"/>
      <c r="B887" s="62"/>
      <c r="C887" s="76"/>
      <c r="D887" s="77"/>
      <c r="E887" s="62"/>
      <c r="F887" s="62"/>
      <c r="G887" s="76"/>
      <c r="H887" s="76"/>
      <c r="I887" s="76"/>
      <c r="J887" s="76"/>
      <c r="K887" s="76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spans="1:26" ht="15.75" customHeight="1" x14ac:dyDescent="0.25">
      <c r="A888" s="62"/>
      <c r="B888" s="62"/>
      <c r="C888" s="76"/>
      <c r="D888" s="77"/>
      <c r="E888" s="62"/>
      <c r="F888" s="62"/>
      <c r="G888" s="76"/>
      <c r="H888" s="76"/>
      <c r="I888" s="76"/>
      <c r="J888" s="76"/>
      <c r="K888" s="76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spans="1:26" ht="15.75" customHeight="1" x14ac:dyDescent="0.25">
      <c r="A889" s="62"/>
      <c r="B889" s="62"/>
      <c r="C889" s="76"/>
      <c r="D889" s="77"/>
      <c r="E889" s="62"/>
      <c r="F889" s="62"/>
      <c r="G889" s="76"/>
      <c r="H889" s="76"/>
      <c r="I889" s="76"/>
      <c r="J889" s="76"/>
      <c r="K889" s="76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spans="1:26" ht="15.75" customHeight="1" x14ac:dyDescent="0.25">
      <c r="A890" s="62"/>
      <c r="B890" s="62"/>
      <c r="C890" s="76"/>
      <c r="D890" s="77"/>
      <c r="E890" s="62"/>
      <c r="F890" s="62"/>
      <c r="G890" s="76"/>
      <c r="H890" s="76"/>
      <c r="I890" s="76"/>
      <c r="J890" s="76"/>
      <c r="K890" s="76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spans="1:26" ht="15.75" customHeight="1" x14ac:dyDescent="0.25">
      <c r="A891" s="62"/>
      <c r="B891" s="62"/>
      <c r="C891" s="76"/>
      <c r="D891" s="77"/>
      <c r="E891" s="62"/>
      <c r="F891" s="62"/>
      <c r="G891" s="76"/>
      <c r="H891" s="76"/>
      <c r="I891" s="76"/>
      <c r="J891" s="76"/>
      <c r="K891" s="76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spans="1:26" ht="15.75" customHeight="1" x14ac:dyDescent="0.25">
      <c r="A892" s="62"/>
      <c r="B892" s="62"/>
      <c r="C892" s="76"/>
      <c r="D892" s="77"/>
      <c r="E892" s="62"/>
      <c r="F892" s="62"/>
      <c r="G892" s="76"/>
      <c r="H892" s="76"/>
      <c r="I892" s="76"/>
      <c r="J892" s="76"/>
      <c r="K892" s="76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spans="1:26" ht="15.75" customHeight="1" x14ac:dyDescent="0.25">
      <c r="A893" s="62"/>
      <c r="B893" s="62"/>
      <c r="C893" s="76"/>
      <c r="D893" s="77"/>
      <c r="E893" s="62"/>
      <c r="F893" s="62"/>
      <c r="G893" s="76"/>
      <c r="H893" s="76"/>
      <c r="I893" s="76"/>
      <c r="J893" s="76"/>
      <c r="K893" s="76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spans="1:26" ht="15.75" customHeight="1" x14ac:dyDescent="0.25">
      <c r="A894" s="62"/>
      <c r="B894" s="62"/>
      <c r="C894" s="76"/>
      <c r="D894" s="77"/>
      <c r="E894" s="62"/>
      <c r="F894" s="62"/>
      <c r="G894" s="76"/>
      <c r="H894" s="76"/>
      <c r="I894" s="76"/>
      <c r="J894" s="76"/>
      <c r="K894" s="76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spans="1:26" ht="15.75" customHeight="1" x14ac:dyDescent="0.25">
      <c r="A895" s="62"/>
      <c r="B895" s="62"/>
      <c r="C895" s="76"/>
      <c r="D895" s="77"/>
      <c r="E895" s="62"/>
      <c r="F895" s="62"/>
      <c r="G895" s="76"/>
      <c r="H895" s="76"/>
      <c r="I895" s="76"/>
      <c r="J895" s="76"/>
      <c r="K895" s="76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spans="1:26" ht="15.75" customHeight="1" x14ac:dyDescent="0.25">
      <c r="A896" s="62"/>
      <c r="B896" s="62"/>
      <c r="C896" s="76"/>
      <c r="D896" s="77"/>
      <c r="E896" s="62"/>
      <c r="F896" s="62"/>
      <c r="G896" s="76"/>
      <c r="H896" s="76"/>
      <c r="I896" s="76"/>
      <c r="J896" s="76"/>
      <c r="K896" s="76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spans="1:26" ht="15.75" customHeight="1" x14ac:dyDescent="0.25">
      <c r="A897" s="62"/>
      <c r="B897" s="62"/>
      <c r="C897" s="76"/>
      <c r="D897" s="77"/>
      <c r="E897" s="62"/>
      <c r="F897" s="62"/>
      <c r="G897" s="76"/>
      <c r="H897" s="76"/>
      <c r="I897" s="76"/>
      <c r="J897" s="76"/>
      <c r="K897" s="76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spans="1:26" ht="15.75" customHeight="1" x14ac:dyDescent="0.25">
      <c r="A898" s="62"/>
      <c r="B898" s="62"/>
      <c r="C898" s="76"/>
      <c r="D898" s="77"/>
      <c r="E898" s="62"/>
      <c r="F898" s="62"/>
      <c r="G898" s="76"/>
      <c r="H898" s="76"/>
      <c r="I898" s="76"/>
      <c r="J898" s="76"/>
      <c r="K898" s="76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spans="1:26" ht="15.75" customHeight="1" x14ac:dyDescent="0.25">
      <c r="A899" s="62"/>
      <c r="B899" s="62"/>
      <c r="C899" s="76"/>
      <c r="D899" s="77"/>
      <c r="E899" s="62"/>
      <c r="F899" s="62"/>
      <c r="G899" s="76"/>
      <c r="H899" s="76"/>
      <c r="I899" s="76"/>
      <c r="J899" s="76"/>
      <c r="K899" s="76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spans="1:26" ht="15.75" customHeight="1" x14ac:dyDescent="0.25">
      <c r="A900" s="62"/>
      <c r="B900" s="62"/>
      <c r="C900" s="76"/>
      <c r="D900" s="77"/>
      <c r="E900" s="62"/>
      <c r="F900" s="62"/>
      <c r="G900" s="76"/>
      <c r="H900" s="76"/>
      <c r="I900" s="76"/>
      <c r="J900" s="76"/>
      <c r="K900" s="76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spans="1:26" ht="15.75" customHeight="1" x14ac:dyDescent="0.25">
      <c r="A901" s="62"/>
      <c r="B901" s="62"/>
      <c r="C901" s="76"/>
      <c r="D901" s="77"/>
      <c r="E901" s="62"/>
      <c r="F901" s="62"/>
      <c r="G901" s="76"/>
      <c r="H901" s="76"/>
      <c r="I901" s="76"/>
      <c r="J901" s="76"/>
      <c r="K901" s="76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spans="1:26" ht="15.75" customHeight="1" x14ac:dyDescent="0.25">
      <c r="A902" s="62"/>
      <c r="B902" s="62"/>
      <c r="C902" s="76"/>
      <c r="D902" s="77"/>
      <c r="E902" s="62"/>
      <c r="F902" s="62"/>
      <c r="G902" s="76"/>
      <c r="H902" s="76"/>
      <c r="I902" s="76"/>
      <c r="J902" s="76"/>
      <c r="K902" s="76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spans="1:26" ht="15.75" customHeight="1" x14ac:dyDescent="0.25">
      <c r="A903" s="62"/>
      <c r="B903" s="62"/>
      <c r="C903" s="76"/>
      <c r="D903" s="77"/>
      <c r="E903" s="62"/>
      <c r="F903" s="62"/>
      <c r="G903" s="76"/>
      <c r="H903" s="76"/>
      <c r="I903" s="76"/>
      <c r="J903" s="76"/>
      <c r="K903" s="76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spans="1:26" ht="15.75" customHeight="1" x14ac:dyDescent="0.25">
      <c r="A904" s="62"/>
      <c r="B904" s="62"/>
      <c r="C904" s="76"/>
      <c r="D904" s="77"/>
      <c r="E904" s="62"/>
      <c r="F904" s="62"/>
      <c r="G904" s="76"/>
      <c r="H904" s="76"/>
      <c r="I904" s="76"/>
      <c r="J904" s="76"/>
      <c r="K904" s="76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spans="1:26" ht="15.75" customHeight="1" x14ac:dyDescent="0.25">
      <c r="A905" s="62"/>
      <c r="B905" s="62"/>
      <c r="C905" s="76"/>
      <c r="D905" s="77"/>
      <c r="E905" s="62"/>
      <c r="F905" s="62"/>
      <c r="G905" s="76"/>
      <c r="H905" s="76"/>
      <c r="I905" s="76"/>
      <c r="J905" s="76"/>
      <c r="K905" s="76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spans="1:26" ht="15.75" customHeight="1" x14ac:dyDescent="0.25">
      <c r="A906" s="62"/>
      <c r="B906" s="62"/>
      <c r="C906" s="76"/>
      <c r="D906" s="77"/>
      <c r="E906" s="62"/>
      <c r="F906" s="62"/>
      <c r="G906" s="76"/>
      <c r="H906" s="76"/>
      <c r="I906" s="76"/>
      <c r="J906" s="76"/>
      <c r="K906" s="76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spans="1:26" ht="15.75" customHeight="1" x14ac:dyDescent="0.25">
      <c r="A907" s="62"/>
      <c r="B907" s="62"/>
      <c r="C907" s="76"/>
      <c r="D907" s="77"/>
      <c r="E907" s="62"/>
      <c r="F907" s="62"/>
      <c r="G907" s="76"/>
      <c r="H907" s="76"/>
      <c r="I907" s="76"/>
      <c r="J907" s="76"/>
      <c r="K907" s="76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spans="1:26" ht="15.75" customHeight="1" x14ac:dyDescent="0.25">
      <c r="A908" s="62"/>
      <c r="B908" s="62"/>
      <c r="C908" s="76"/>
      <c r="D908" s="77"/>
      <c r="E908" s="62"/>
      <c r="F908" s="62"/>
      <c r="G908" s="76"/>
      <c r="H908" s="76"/>
      <c r="I908" s="76"/>
      <c r="J908" s="76"/>
      <c r="K908" s="76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spans="1:26" ht="15.75" customHeight="1" x14ac:dyDescent="0.25">
      <c r="A909" s="62"/>
      <c r="B909" s="62"/>
      <c r="C909" s="76"/>
      <c r="D909" s="77"/>
      <c r="E909" s="62"/>
      <c r="F909" s="62"/>
      <c r="G909" s="76"/>
      <c r="H909" s="76"/>
      <c r="I909" s="76"/>
      <c r="J909" s="76"/>
      <c r="K909" s="76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spans="1:26" ht="15.75" customHeight="1" x14ac:dyDescent="0.25">
      <c r="A910" s="62"/>
      <c r="B910" s="62"/>
      <c r="C910" s="76"/>
      <c r="D910" s="77"/>
      <c r="E910" s="62"/>
      <c r="F910" s="62"/>
      <c r="G910" s="76"/>
      <c r="H910" s="76"/>
      <c r="I910" s="76"/>
      <c r="J910" s="76"/>
      <c r="K910" s="76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spans="1:26" ht="15.75" customHeight="1" x14ac:dyDescent="0.25">
      <c r="A911" s="62"/>
      <c r="B911" s="62"/>
      <c r="C911" s="76"/>
      <c r="D911" s="77"/>
      <c r="E911" s="62"/>
      <c r="F911" s="62"/>
      <c r="G911" s="76"/>
      <c r="H911" s="76"/>
      <c r="I911" s="76"/>
      <c r="J911" s="76"/>
      <c r="K911" s="76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spans="1:26" ht="15.75" customHeight="1" x14ac:dyDescent="0.25">
      <c r="A912" s="62"/>
      <c r="B912" s="62"/>
      <c r="C912" s="76"/>
      <c r="D912" s="77"/>
      <c r="E912" s="62"/>
      <c r="F912" s="62"/>
      <c r="G912" s="76"/>
      <c r="H912" s="76"/>
      <c r="I912" s="76"/>
      <c r="J912" s="76"/>
      <c r="K912" s="76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spans="1:26" ht="15.75" customHeight="1" x14ac:dyDescent="0.25">
      <c r="A913" s="62"/>
      <c r="B913" s="62"/>
      <c r="C913" s="76"/>
      <c r="D913" s="77"/>
      <c r="E913" s="62"/>
      <c r="F913" s="62"/>
      <c r="G913" s="76"/>
      <c r="H913" s="76"/>
      <c r="I913" s="76"/>
      <c r="J913" s="76"/>
      <c r="K913" s="76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spans="1:26" ht="15.75" customHeight="1" x14ac:dyDescent="0.25">
      <c r="A914" s="62"/>
      <c r="B914" s="62"/>
      <c r="C914" s="76"/>
      <c r="D914" s="77"/>
      <c r="E914" s="62"/>
      <c r="F914" s="62"/>
      <c r="G914" s="76"/>
      <c r="H914" s="76"/>
      <c r="I914" s="76"/>
      <c r="J914" s="76"/>
      <c r="K914" s="76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spans="1:26" ht="15.75" customHeight="1" x14ac:dyDescent="0.25">
      <c r="A915" s="62"/>
      <c r="B915" s="62"/>
      <c r="C915" s="76"/>
      <c r="D915" s="77"/>
      <c r="E915" s="62"/>
      <c r="F915" s="62"/>
      <c r="G915" s="76"/>
      <c r="H915" s="76"/>
      <c r="I915" s="76"/>
      <c r="J915" s="76"/>
      <c r="K915" s="76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spans="1:26" ht="15.75" customHeight="1" x14ac:dyDescent="0.25">
      <c r="A916" s="62"/>
      <c r="B916" s="62"/>
      <c r="C916" s="76"/>
      <c r="D916" s="77"/>
      <c r="E916" s="62"/>
      <c r="F916" s="62"/>
      <c r="G916" s="76"/>
      <c r="H916" s="76"/>
      <c r="I916" s="76"/>
      <c r="J916" s="76"/>
      <c r="K916" s="76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spans="1:26" ht="15.75" customHeight="1" x14ac:dyDescent="0.25">
      <c r="A917" s="62"/>
      <c r="B917" s="62"/>
      <c r="C917" s="76"/>
      <c r="D917" s="77"/>
      <c r="E917" s="62"/>
      <c r="F917" s="62"/>
      <c r="G917" s="76"/>
      <c r="H917" s="76"/>
      <c r="I917" s="76"/>
      <c r="J917" s="76"/>
      <c r="K917" s="76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spans="1:26" ht="15.75" customHeight="1" x14ac:dyDescent="0.25">
      <c r="A918" s="62"/>
      <c r="B918" s="62"/>
      <c r="C918" s="76"/>
      <c r="D918" s="77"/>
      <c r="E918" s="62"/>
      <c r="F918" s="62"/>
      <c r="G918" s="76"/>
      <c r="H918" s="76"/>
      <c r="I918" s="76"/>
      <c r="J918" s="76"/>
      <c r="K918" s="76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spans="1:26" ht="15.75" customHeight="1" x14ac:dyDescent="0.25">
      <c r="A919" s="62"/>
      <c r="B919" s="62"/>
      <c r="C919" s="76"/>
      <c r="D919" s="77"/>
      <c r="E919" s="62"/>
      <c r="F919" s="62"/>
      <c r="G919" s="76"/>
      <c r="H919" s="76"/>
      <c r="I919" s="76"/>
      <c r="J919" s="76"/>
      <c r="K919" s="76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spans="1:26" ht="15.75" customHeight="1" x14ac:dyDescent="0.25">
      <c r="A920" s="62"/>
      <c r="B920" s="62"/>
      <c r="C920" s="76"/>
      <c r="D920" s="77"/>
      <c r="E920" s="62"/>
      <c r="F920" s="62"/>
      <c r="G920" s="76"/>
      <c r="H920" s="76"/>
      <c r="I920" s="76"/>
      <c r="J920" s="76"/>
      <c r="K920" s="76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spans="1:26" ht="15.75" customHeight="1" x14ac:dyDescent="0.25">
      <c r="A921" s="62"/>
      <c r="B921" s="62"/>
      <c r="C921" s="76"/>
      <c r="D921" s="77"/>
      <c r="E921" s="62"/>
      <c r="F921" s="62"/>
      <c r="G921" s="76"/>
      <c r="H921" s="76"/>
      <c r="I921" s="76"/>
      <c r="J921" s="76"/>
      <c r="K921" s="76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spans="1:26" ht="15.75" customHeight="1" x14ac:dyDescent="0.25">
      <c r="A922" s="62"/>
      <c r="B922" s="62"/>
      <c r="C922" s="76"/>
      <c r="D922" s="77"/>
      <c r="E922" s="62"/>
      <c r="F922" s="62"/>
      <c r="G922" s="76"/>
      <c r="H922" s="76"/>
      <c r="I922" s="76"/>
      <c r="J922" s="76"/>
      <c r="K922" s="76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spans="1:26" ht="15.75" customHeight="1" x14ac:dyDescent="0.25">
      <c r="A923" s="62"/>
      <c r="B923" s="62"/>
      <c r="C923" s="76"/>
      <c r="D923" s="77"/>
      <c r="E923" s="62"/>
      <c r="F923" s="62"/>
      <c r="G923" s="76"/>
      <c r="H923" s="76"/>
      <c r="I923" s="76"/>
      <c r="J923" s="76"/>
      <c r="K923" s="76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spans="1:26" ht="15.75" customHeight="1" x14ac:dyDescent="0.25">
      <c r="A924" s="62"/>
      <c r="B924" s="62"/>
      <c r="C924" s="76"/>
      <c r="D924" s="77"/>
      <c r="E924" s="62"/>
      <c r="F924" s="62"/>
      <c r="G924" s="76"/>
      <c r="H924" s="76"/>
      <c r="I924" s="76"/>
      <c r="J924" s="76"/>
      <c r="K924" s="76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spans="1:26" ht="15.75" customHeight="1" x14ac:dyDescent="0.25">
      <c r="A925" s="62"/>
      <c r="B925" s="62"/>
      <c r="C925" s="76"/>
      <c r="D925" s="77"/>
      <c r="E925" s="62"/>
      <c r="F925" s="62"/>
      <c r="G925" s="76"/>
      <c r="H925" s="76"/>
      <c r="I925" s="76"/>
      <c r="J925" s="76"/>
      <c r="K925" s="76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spans="1:26" ht="15.75" customHeight="1" x14ac:dyDescent="0.25">
      <c r="A926" s="62"/>
      <c r="B926" s="62"/>
      <c r="C926" s="76"/>
      <c r="D926" s="77"/>
      <c r="E926" s="62"/>
      <c r="F926" s="62"/>
      <c r="G926" s="76"/>
      <c r="H926" s="76"/>
      <c r="I926" s="76"/>
      <c r="J926" s="76"/>
      <c r="K926" s="76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spans="1:26" ht="15.75" customHeight="1" x14ac:dyDescent="0.25">
      <c r="A927" s="62"/>
      <c r="B927" s="62"/>
      <c r="C927" s="76"/>
      <c r="D927" s="77"/>
      <c r="E927" s="62"/>
      <c r="F927" s="62"/>
      <c r="G927" s="76"/>
      <c r="H927" s="76"/>
      <c r="I927" s="76"/>
      <c r="J927" s="76"/>
      <c r="K927" s="76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spans="1:26" ht="15.75" customHeight="1" x14ac:dyDescent="0.25">
      <c r="A928" s="62"/>
      <c r="B928" s="62"/>
      <c r="C928" s="76"/>
      <c r="D928" s="77"/>
      <c r="E928" s="62"/>
      <c r="F928" s="62"/>
      <c r="G928" s="76"/>
      <c r="H928" s="76"/>
      <c r="I928" s="76"/>
      <c r="J928" s="76"/>
      <c r="K928" s="76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spans="1:26" ht="15.75" customHeight="1" x14ac:dyDescent="0.25">
      <c r="A929" s="62"/>
      <c r="B929" s="62"/>
      <c r="C929" s="76"/>
      <c r="D929" s="77"/>
      <c r="E929" s="62"/>
      <c r="F929" s="62"/>
      <c r="G929" s="76"/>
      <c r="H929" s="76"/>
      <c r="I929" s="76"/>
      <c r="J929" s="76"/>
      <c r="K929" s="76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spans="1:26" ht="15.75" customHeight="1" x14ac:dyDescent="0.25">
      <c r="A930" s="62"/>
      <c r="B930" s="62"/>
      <c r="C930" s="76"/>
      <c r="D930" s="77"/>
      <c r="E930" s="62"/>
      <c r="F930" s="62"/>
      <c r="G930" s="76"/>
      <c r="H930" s="76"/>
      <c r="I930" s="76"/>
      <c r="J930" s="76"/>
      <c r="K930" s="76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spans="1:26" ht="15.75" customHeight="1" x14ac:dyDescent="0.25">
      <c r="A931" s="62"/>
      <c r="B931" s="62"/>
      <c r="C931" s="76"/>
      <c r="D931" s="77"/>
      <c r="E931" s="62"/>
      <c r="F931" s="62"/>
      <c r="G931" s="76"/>
      <c r="H931" s="76"/>
      <c r="I931" s="76"/>
      <c r="J931" s="76"/>
      <c r="K931" s="76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spans="1:26" ht="15.75" customHeight="1" x14ac:dyDescent="0.25">
      <c r="A932" s="62"/>
      <c r="B932" s="62"/>
      <c r="C932" s="76"/>
      <c r="D932" s="77"/>
      <c r="E932" s="62"/>
      <c r="F932" s="62"/>
      <c r="G932" s="76"/>
      <c r="H932" s="76"/>
      <c r="I932" s="76"/>
      <c r="J932" s="76"/>
      <c r="K932" s="76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spans="1:26" ht="15.75" customHeight="1" x14ac:dyDescent="0.25">
      <c r="A933" s="62"/>
      <c r="B933" s="62"/>
      <c r="C933" s="76"/>
      <c r="D933" s="77"/>
      <c r="E933" s="62"/>
      <c r="F933" s="62"/>
      <c r="G933" s="76"/>
      <c r="H933" s="76"/>
      <c r="I933" s="76"/>
      <c r="J933" s="76"/>
      <c r="K933" s="76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spans="1:26" ht="15.75" customHeight="1" x14ac:dyDescent="0.25">
      <c r="A934" s="62"/>
      <c r="B934" s="62"/>
      <c r="C934" s="76"/>
      <c r="D934" s="77"/>
      <c r="E934" s="62"/>
      <c r="F934" s="62"/>
      <c r="G934" s="76"/>
      <c r="H934" s="76"/>
      <c r="I934" s="76"/>
      <c r="J934" s="76"/>
      <c r="K934" s="76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spans="1:26" ht="15.75" customHeight="1" x14ac:dyDescent="0.25">
      <c r="A935" s="62"/>
      <c r="B935" s="62"/>
      <c r="C935" s="76"/>
      <c r="D935" s="77"/>
      <c r="E935" s="62"/>
      <c r="F935" s="62"/>
      <c r="G935" s="76"/>
      <c r="H935" s="76"/>
      <c r="I935" s="76"/>
      <c r="J935" s="76"/>
      <c r="K935" s="76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spans="1:26" ht="15.75" customHeight="1" x14ac:dyDescent="0.25">
      <c r="A936" s="62"/>
      <c r="B936" s="62"/>
      <c r="C936" s="76"/>
      <c r="D936" s="77"/>
      <c r="E936" s="62"/>
      <c r="F936" s="62"/>
      <c r="G936" s="76"/>
      <c r="H936" s="76"/>
      <c r="I936" s="76"/>
      <c r="J936" s="76"/>
      <c r="K936" s="76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spans="1:26" ht="15.75" customHeight="1" x14ac:dyDescent="0.25">
      <c r="A937" s="62"/>
      <c r="B937" s="62"/>
      <c r="C937" s="76"/>
      <c r="D937" s="77"/>
      <c r="E937" s="62"/>
      <c r="F937" s="62"/>
      <c r="G937" s="76"/>
      <c r="H937" s="76"/>
      <c r="I937" s="76"/>
      <c r="J937" s="76"/>
      <c r="K937" s="76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spans="1:26" ht="15.75" customHeight="1" x14ac:dyDescent="0.25">
      <c r="A938" s="62"/>
      <c r="B938" s="62"/>
      <c r="C938" s="76"/>
      <c r="D938" s="77"/>
      <c r="E938" s="62"/>
      <c r="F938" s="62"/>
      <c r="G938" s="76"/>
      <c r="H938" s="76"/>
      <c r="I938" s="76"/>
      <c r="J938" s="76"/>
      <c r="K938" s="76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spans="1:26" ht="15.75" customHeight="1" x14ac:dyDescent="0.25">
      <c r="A939" s="62"/>
      <c r="B939" s="62"/>
      <c r="C939" s="76"/>
      <c r="D939" s="77"/>
      <c r="E939" s="62"/>
      <c r="F939" s="62"/>
      <c r="G939" s="76"/>
      <c r="H939" s="76"/>
      <c r="I939" s="76"/>
      <c r="J939" s="76"/>
      <c r="K939" s="76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spans="1:26" ht="15.75" customHeight="1" x14ac:dyDescent="0.25">
      <c r="A940" s="62"/>
      <c r="B940" s="62"/>
      <c r="C940" s="76"/>
      <c r="D940" s="77"/>
      <c r="E940" s="62"/>
      <c r="F940" s="62"/>
      <c r="G940" s="76"/>
      <c r="H940" s="76"/>
      <c r="I940" s="76"/>
      <c r="J940" s="76"/>
      <c r="K940" s="76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spans="1:26" ht="15.75" customHeight="1" x14ac:dyDescent="0.25">
      <c r="A941" s="62"/>
      <c r="B941" s="62"/>
      <c r="C941" s="76"/>
      <c r="D941" s="77"/>
      <c r="E941" s="62"/>
      <c r="F941" s="62"/>
      <c r="G941" s="76"/>
      <c r="H941" s="76"/>
      <c r="I941" s="76"/>
      <c r="J941" s="76"/>
      <c r="K941" s="76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spans="1:26" ht="15.75" customHeight="1" x14ac:dyDescent="0.25">
      <c r="A942" s="62"/>
      <c r="B942" s="62"/>
      <c r="C942" s="76"/>
      <c r="D942" s="77"/>
      <c r="E942" s="62"/>
      <c r="F942" s="62"/>
      <c r="G942" s="76"/>
      <c r="H942" s="76"/>
      <c r="I942" s="76"/>
      <c r="J942" s="76"/>
      <c r="K942" s="76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spans="1:26" ht="15.75" customHeight="1" x14ac:dyDescent="0.25">
      <c r="A943" s="62"/>
      <c r="B943" s="62"/>
      <c r="C943" s="76"/>
      <c r="D943" s="77"/>
      <c r="E943" s="62"/>
      <c r="F943" s="62"/>
      <c r="G943" s="76"/>
      <c r="H943" s="76"/>
      <c r="I943" s="76"/>
      <c r="J943" s="76"/>
      <c r="K943" s="76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spans="1:26" ht="15.75" customHeight="1" x14ac:dyDescent="0.25">
      <c r="A944" s="62"/>
      <c r="B944" s="62"/>
      <c r="C944" s="76"/>
      <c r="D944" s="77"/>
      <c r="E944" s="62"/>
      <c r="F944" s="62"/>
      <c r="G944" s="76"/>
      <c r="H944" s="76"/>
      <c r="I944" s="76"/>
      <c r="J944" s="76"/>
      <c r="K944" s="76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spans="1:26" ht="15.75" customHeight="1" x14ac:dyDescent="0.25">
      <c r="A945" s="62"/>
      <c r="B945" s="62"/>
      <c r="C945" s="76"/>
      <c r="D945" s="77"/>
      <c r="E945" s="62"/>
      <c r="F945" s="62"/>
      <c r="G945" s="76"/>
      <c r="H945" s="76"/>
      <c r="I945" s="76"/>
      <c r="J945" s="76"/>
      <c r="K945" s="76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spans="1:26" ht="15.75" customHeight="1" x14ac:dyDescent="0.25">
      <c r="A946" s="62"/>
      <c r="B946" s="62"/>
      <c r="C946" s="76"/>
      <c r="D946" s="77"/>
      <c r="E946" s="62"/>
      <c r="F946" s="62"/>
      <c r="G946" s="76"/>
      <c r="H946" s="76"/>
      <c r="I946" s="76"/>
      <c r="J946" s="76"/>
      <c r="K946" s="76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spans="1:26" ht="15.75" customHeight="1" x14ac:dyDescent="0.25">
      <c r="A947" s="62"/>
      <c r="B947" s="62"/>
      <c r="C947" s="76"/>
      <c r="D947" s="77"/>
      <c r="E947" s="62"/>
      <c r="F947" s="62"/>
      <c r="G947" s="76"/>
      <c r="H947" s="76"/>
      <c r="I947" s="76"/>
      <c r="J947" s="76"/>
      <c r="K947" s="76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spans="1:26" ht="15.75" customHeight="1" x14ac:dyDescent="0.25">
      <c r="A948" s="62"/>
      <c r="B948" s="62"/>
      <c r="C948" s="76"/>
      <c r="D948" s="77"/>
      <c r="E948" s="62"/>
      <c r="F948" s="62"/>
      <c r="G948" s="76"/>
      <c r="H948" s="76"/>
      <c r="I948" s="76"/>
      <c r="J948" s="76"/>
      <c r="K948" s="76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spans="1:26" ht="15.75" customHeight="1" x14ac:dyDescent="0.25">
      <c r="A949" s="62"/>
      <c r="B949" s="62"/>
      <c r="C949" s="76"/>
      <c r="D949" s="77"/>
      <c r="E949" s="62"/>
      <c r="F949" s="62"/>
      <c r="G949" s="76"/>
      <c r="H949" s="76"/>
      <c r="I949" s="76"/>
      <c r="J949" s="76"/>
      <c r="K949" s="76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spans="1:26" ht="15.75" customHeight="1" x14ac:dyDescent="0.25">
      <c r="A950" s="62"/>
      <c r="B950" s="62"/>
      <c r="C950" s="76"/>
      <c r="D950" s="77"/>
      <c r="E950" s="62"/>
      <c r="F950" s="62"/>
      <c r="G950" s="76"/>
      <c r="H950" s="76"/>
      <c r="I950" s="76"/>
      <c r="J950" s="76"/>
      <c r="K950" s="76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spans="1:26" ht="15.75" customHeight="1" x14ac:dyDescent="0.25">
      <c r="A951" s="62"/>
      <c r="B951" s="62"/>
      <c r="C951" s="76"/>
      <c r="D951" s="77"/>
      <c r="E951" s="62"/>
      <c r="F951" s="62"/>
      <c r="G951" s="76"/>
      <c r="H951" s="76"/>
      <c r="I951" s="76"/>
      <c r="J951" s="76"/>
      <c r="K951" s="76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spans="1:26" ht="15.75" customHeight="1" x14ac:dyDescent="0.25">
      <c r="A952" s="62"/>
      <c r="B952" s="62"/>
      <c r="C952" s="76"/>
      <c r="D952" s="77"/>
      <c r="E952" s="62"/>
      <c r="F952" s="62"/>
      <c r="G952" s="76"/>
      <c r="H952" s="76"/>
      <c r="I952" s="76"/>
      <c r="J952" s="76"/>
      <c r="K952" s="76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spans="1:26" ht="15.75" customHeight="1" x14ac:dyDescent="0.25">
      <c r="A953" s="62"/>
      <c r="B953" s="62"/>
      <c r="C953" s="76"/>
      <c r="D953" s="77"/>
      <c r="E953" s="62"/>
      <c r="F953" s="62"/>
      <c r="G953" s="76"/>
      <c r="H953" s="76"/>
      <c r="I953" s="76"/>
      <c r="J953" s="76"/>
      <c r="K953" s="76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spans="1:26" ht="15.75" customHeight="1" x14ac:dyDescent="0.25">
      <c r="A954" s="62"/>
      <c r="B954" s="62"/>
      <c r="C954" s="76"/>
      <c r="D954" s="77"/>
      <c r="E954" s="62"/>
      <c r="F954" s="62"/>
      <c r="G954" s="76"/>
      <c r="H954" s="76"/>
      <c r="I954" s="76"/>
      <c r="J954" s="76"/>
      <c r="K954" s="76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spans="1:26" ht="15.75" customHeight="1" x14ac:dyDescent="0.25">
      <c r="A955" s="62"/>
      <c r="B955" s="62"/>
      <c r="C955" s="76"/>
      <c r="D955" s="77"/>
      <c r="E955" s="62"/>
      <c r="F955" s="62"/>
      <c r="G955" s="76"/>
      <c r="H955" s="76"/>
      <c r="I955" s="76"/>
      <c r="J955" s="76"/>
      <c r="K955" s="76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spans="1:26" ht="15.75" customHeight="1" x14ac:dyDescent="0.25">
      <c r="A956" s="62"/>
      <c r="B956" s="62"/>
      <c r="C956" s="76"/>
      <c r="D956" s="77"/>
      <c r="E956" s="62"/>
      <c r="F956" s="62"/>
      <c r="G956" s="76"/>
      <c r="H956" s="76"/>
      <c r="I956" s="76"/>
      <c r="J956" s="76"/>
      <c r="K956" s="76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spans="1:26" ht="15.75" customHeight="1" x14ac:dyDescent="0.25">
      <c r="A957" s="62"/>
      <c r="B957" s="62"/>
      <c r="C957" s="76"/>
      <c r="D957" s="77"/>
      <c r="E957" s="62"/>
      <c r="F957" s="62"/>
      <c r="G957" s="76"/>
      <c r="H957" s="76"/>
      <c r="I957" s="76"/>
      <c r="J957" s="76"/>
      <c r="K957" s="76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spans="1:26" ht="15.75" customHeight="1" x14ac:dyDescent="0.25">
      <c r="A958" s="62"/>
      <c r="B958" s="62"/>
      <c r="C958" s="76"/>
      <c r="D958" s="77"/>
      <c r="E958" s="62"/>
      <c r="F958" s="62"/>
      <c r="G958" s="76"/>
      <c r="H958" s="76"/>
      <c r="I958" s="76"/>
      <c r="J958" s="76"/>
      <c r="K958" s="76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spans="1:26" ht="15.75" customHeight="1" x14ac:dyDescent="0.25">
      <c r="A959" s="62"/>
      <c r="B959" s="62"/>
      <c r="C959" s="76"/>
      <c r="D959" s="77"/>
      <c r="E959" s="62"/>
      <c r="F959" s="62"/>
      <c r="G959" s="76"/>
      <c r="H959" s="76"/>
      <c r="I959" s="76"/>
      <c r="J959" s="76"/>
      <c r="K959" s="76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spans="1:26" ht="15.75" customHeight="1" x14ac:dyDescent="0.25">
      <c r="A960" s="62"/>
      <c r="B960" s="62"/>
      <c r="C960" s="76"/>
      <c r="D960" s="77"/>
      <c r="E960" s="62"/>
      <c r="F960" s="62"/>
      <c r="G960" s="76"/>
      <c r="H960" s="76"/>
      <c r="I960" s="76"/>
      <c r="J960" s="76"/>
      <c r="K960" s="76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spans="1:26" ht="15.75" customHeight="1" x14ac:dyDescent="0.25">
      <c r="A961" s="62"/>
      <c r="B961" s="62"/>
      <c r="C961" s="76"/>
      <c r="D961" s="77"/>
      <c r="E961" s="62"/>
      <c r="F961" s="62"/>
      <c r="G961" s="76"/>
      <c r="H961" s="76"/>
      <c r="I961" s="76"/>
      <c r="J961" s="76"/>
      <c r="K961" s="76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spans="1:26" ht="15.75" customHeight="1" x14ac:dyDescent="0.25">
      <c r="A962" s="62"/>
      <c r="B962" s="62"/>
      <c r="C962" s="76"/>
      <c r="D962" s="77"/>
      <c r="E962" s="62"/>
      <c r="F962" s="62"/>
      <c r="G962" s="76"/>
      <c r="H962" s="76"/>
      <c r="I962" s="76"/>
      <c r="J962" s="76"/>
      <c r="K962" s="76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spans="1:26" ht="15.75" customHeight="1" x14ac:dyDescent="0.25">
      <c r="A963" s="62"/>
      <c r="B963" s="62"/>
      <c r="C963" s="76"/>
      <c r="D963" s="77"/>
      <c r="E963" s="62"/>
      <c r="F963" s="62"/>
      <c r="G963" s="76"/>
      <c r="H963" s="76"/>
      <c r="I963" s="76"/>
      <c r="J963" s="76"/>
      <c r="K963" s="76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spans="1:26" ht="15.75" customHeight="1" x14ac:dyDescent="0.25">
      <c r="A964" s="62"/>
      <c r="B964" s="62"/>
      <c r="C964" s="76"/>
      <c r="D964" s="77"/>
      <c r="E964" s="62"/>
      <c r="F964" s="62"/>
      <c r="G964" s="76"/>
      <c r="H964" s="76"/>
      <c r="I964" s="76"/>
      <c r="J964" s="76"/>
      <c r="K964" s="76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spans="1:26" ht="15.75" customHeight="1" x14ac:dyDescent="0.25">
      <c r="A965" s="62"/>
      <c r="B965" s="62"/>
      <c r="C965" s="76"/>
      <c r="D965" s="77"/>
      <c r="E965" s="62"/>
      <c r="F965" s="62"/>
      <c r="G965" s="76"/>
      <c r="H965" s="76"/>
      <c r="I965" s="76"/>
      <c r="J965" s="76"/>
      <c r="K965" s="76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spans="1:26" ht="15.75" customHeight="1" x14ac:dyDescent="0.25">
      <c r="A966" s="62"/>
      <c r="B966" s="62"/>
      <c r="C966" s="76"/>
      <c r="D966" s="77"/>
      <c r="E966" s="62"/>
      <c r="F966" s="62"/>
      <c r="G966" s="76"/>
      <c r="H966" s="76"/>
      <c r="I966" s="76"/>
      <c r="J966" s="76"/>
      <c r="K966" s="76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spans="1:26" ht="15.75" customHeight="1" x14ac:dyDescent="0.25">
      <c r="A967" s="62"/>
      <c r="B967" s="62"/>
      <c r="C967" s="76"/>
      <c r="D967" s="77"/>
      <c r="E967" s="62"/>
      <c r="F967" s="62"/>
      <c r="G967" s="76"/>
      <c r="H967" s="76"/>
      <c r="I967" s="76"/>
      <c r="J967" s="76"/>
      <c r="K967" s="76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spans="1:26" ht="15.75" customHeight="1" x14ac:dyDescent="0.25">
      <c r="A968" s="62"/>
      <c r="B968" s="62"/>
      <c r="C968" s="76"/>
      <c r="D968" s="77"/>
      <c r="E968" s="62"/>
      <c r="F968" s="62"/>
      <c r="G968" s="76"/>
      <c r="H968" s="76"/>
      <c r="I968" s="76"/>
      <c r="J968" s="76"/>
      <c r="K968" s="76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spans="1:26" ht="15.75" customHeight="1" x14ac:dyDescent="0.25">
      <c r="A969" s="62"/>
      <c r="B969" s="62"/>
      <c r="C969" s="76"/>
      <c r="D969" s="77"/>
      <c r="E969" s="62"/>
      <c r="F969" s="62"/>
      <c r="G969" s="76"/>
      <c r="H969" s="76"/>
      <c r="I969" s="76"/>
      <c r="J969" s="76"/>
      <c r="K969" s="76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spans="1:26" ht="15.75" customHeight="1" x14ac:dyDescent="0.25">
      <c r="A970" s="62"/>
      <c r="B970" s="62"/>
      <c r="C970" s="76"/>
      <c r="D970" s="77"/>
      <c r="E970" s="62"/>
      <c r="F970" s="62"/>
      <c r="G970" s="76"/>
      <c r="H970" s="76"/>
      <c r="I970" s="76"/>
      <c r="J970" s="76"/>
      <c r="K970" s="76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spans="1:26" ht="15.75" customHeight="1" x14ac:dyDescent="0.25">
      <c r="A971" s="62"/>
      <c r="B971" s="62"/>
      <c r="C971" s="76"/>
      <c r="D971" s="77"/>
      <c r="E971" s="62"/>
      <c r="F971" s="62"/>
      <c r="G971" s="76"/>
      <c r="H971" s="76"/>
      <c r="I971" s="76"/>
      <c r="J971" s="76"/>
      <c r="K971" s="76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spans="1:26" ht="15.75" customHeight="1" x14ac:dyDescent="0.25">
      <c r="A972" s="62"/>
      <c r="B972" s="62"/>
      <c r="C972" s="76"/>
      <c r="D972" s="77"/>
      <c r="E972" s="62"/>
      <c r="F972" s="62"/>
      <c r="G972" s="76"/>
      <c r="H972" s="76"/>
      <c r="I972" s="76"/>
      <c r="J972" s="76"/>
      <c r="K972" s="76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spans="1:26" ht="15.75" customHeight="1" x14ac:dyDescent="0.25">
      <c r="A973" s="62"/>
      <c r="B973" s="62"/>
      <c r="C973" s="76"/>
      <c r="D973" s="77"/>
      <c r="E973" s="62"/>
      <c r="F973" s="62"/>
      <c r="G973" s="76"/>
      <c r="H973" s="76"/>
      <c r="I973" s="76"/>
      <c r="J973" s="76"/>
      <c r="K973" s="76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spans="1:26" ht="15.75" customHeight="1" x14ac:dyDescent="0.25">
      <c r="A974" s="62"/>
      <c r="B974" s="62"/>
      <c r="C974" s="76"/>
      <c r="D974" s="77"/>
      <c r="E974" s="62"/>
      <c r="F974" s="62"/>
      <c r="G974" s="76"/>
      <c r="H974" s="76"/>
      <c r="I974" s="76"/>
      <c r="J974" s="76"/>
      <c r="K974" s="76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spans="1:26" ht="15.75" customHeight="1" x14ac:dyDescent="0.25">
      <c r="A975" s="62"/>
      <c r="B975" s="62"/>
      <c r="C975" s="76"/>
      <c r="D975" s="77"/>
      <c r="E975" s="62"/>
      <c r="F975" s="62"/>
      <c r="G975" s="76"/>
      <c r="H975" s="76"/>
      <c r="I975" s="76"/>
      <c r="J975" s="76"/>
      <c r="K975" s="76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spans="1:26" ht="15.75" customHeight="1" x14ac:dyDescent="0.25">
      <c r="A976" s="62"/>
      <c r="B976" s="62"/>
      <c r="C976" s="76"/>
      <c r="D976" s="77"/>
      <c r="E976" s="62"/>
      <c r="F976" s="62"/>
      <c r="G976" s="76"/>
      <c r="H976" s="76"/>
      <c r="I976" s="76"/>
      <c r="J976" s="76"/>
      <c r="K976" s="76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spans="1:26" ht="15.75" customHeight="1" x14ac:dyDescent="0.25">
      <c r="A977" s="62"/>
      <c r="B977" s="62"/>
      <c r="C977" s="76"/>
      <c r="D977" s="77"/>
      <c r="E977" s="62"/>
      <c r="F977" s="62"/>
      <c r="G977" s="76"/>
      <c r="H977" s="76"/>
      <c r="I977" s="76"/>
      <c r="J977" s="76"/>
      <c r="K977" s="76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spans="1:26" ht="15.75" customHeight="1" x14ac:dyDescent="0.25">
      <c r="A978" s="62"/>
      <c r="B978" s="62"/>
      <c r="C978" s="76"/>
      <c r="D978" s="77"/>
      <c r="E978" s="62"/>
      <c r="F978" s="62"/>
      <c r="G978" s="76"/>
      <c r="H978" s="76"/>
      <c r="I978" s="76"/>
      <c r="J978" s="76"/>
      <c r="K978" s="76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spans="1:26" ht="15.75" customHeight="1" x14ac:dyDescent="0.25">
      <c r="A979" s="62"/>
      <c r="B979" s="62"/>
      <c r="C979" s="76"/>
      <c r="D979" s="77"/>
      <c r="E979" s="62"/>
      <c r="F979" s="62"/>
      <c r="G979" s="76"/>
      <c r="H979" s="76"/>
      <c r="I979" s="76"/>
      <c r="J979" s="76"/>
      <c r="K979" s="76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spans="1:26" ht="15.75" customHeight="1" x14ac:dyDescent="0.25">
      <c r="A980" s="62"/>
      <c r="B980" s="62"/>
      <c r="C980" s="76"/>
      <c r="D980" s="77"/>
      <c r="E980" s="62"/>
      <c r="F980" s="62"/>
      <c r="G980" s="76"/>
      <c r="H980" s="76"/>
      <c r="I980" s="76"/>
      <c r="J980" s="76"/>
      <c r="K980" s="76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spans="1:26" ht="15.75" customHeight="1" x14ac:dyDescent="0.25">
      <c r="A981" s="62"/>
      <c r="B981" s="62"/>
      <c r="C981" s="76"/>
      <c r="D981" s="77"/>
      <c r="E981" s="62"/>
      <c r="F981" s="62"/>
      <c r="G981" s="76"/>
      <c r="H981" s="76"/>
      <c r="I981" s="76"/>
      <c r="J981" s="76"/>
      <c r="K981" s="76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spans="1:26" ht="15.75" customHeight="1" x14ac:dyDescent="0.25">
      <c r="A982" s="62"/>
      <c r="B982" s="62"/>
      <c r="C982" s="76"/>
      <c r="D982" s="77"/>
      <c r="E982" s="62"/>
      <c r="F982" s="62"/>
      <c r="G982" s="76"/>
      <c r="H982" s="76"/>
      <c r="I982" s="76"/>
      <c r="J982" s="76"/>
      <c r="K982" s="76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spans="1:26" ht="15.75" customHeight="1" x14ac:dyDescent="0.25">
      <c r="A983" s="62"/>
      <c r="B983" s="62"/>
      <c r="C983" s="76"/>
      <c r="D983" s="77"/>
      <c r="E983" s="62"/>
      <c r="F983" s="62"/>
      <c r="G983" s="76"/>
      <c r="H983" s="76"/>
      <c r="I983" s="76"/>
      <c r="J983" s="76"/>
      <c r="K983" s="76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spans="1:26" ht="15.75" customHeight="1" x14ac:dyDescent="0.25">
      <c r="A984" s="62"/>
      <c r="B984" s="62"/>
      <c r="C984" s="76"/>
      <c r="D984" s="77"/>
      <c r="E984" s="62"/>
      <c r="F984" s="62"/>
      <c r="G984" s="76"/>
      <c r="H984" s="76"/>
      <c r="I984" s="76"/>
      <c r="J984" s="76"/>
      <c r="K984" s="76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spans="1:26" ht="15.75" customHeight="1" x14ac:dyDescent="0.25">
      <c r="A985" s="62"/>
      <c r="B985" s="62"/>
      <c r="C985" s="76"/>
      <c r="D985" s="77"/>
      <c r="E985" s="62"/>
      <c r="F985" s="62"/>
      <c r="G985" s="76"/>
      <c r="H985" s="76"/>
      <c r="I985" s="76"/>
      <c r="J985" s="76"/>
      <c r="K985" s="76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spans="1:26" ht="15.75" customHeight="1" x14ac:dyDescent="0.25">
      <c r="A986" s="62"/>
      <c r="B986" s="62"/>
      <c r="C986" s="76"/>
      <c r="D986" s="77"/>
      <c r="E986" s="62"/>
      <c r="F986" s="62"/>
      <c r="G986" s="76"/>
      <c r="H986" s="76"/>
      <c r="I986" s="76"/>
      <c r="J986" s="76"/>
      <c r="K986" s="76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spans="1:26" ht="15.75" customHeight="1" x14ac:dyDescent="0.25">
      <c r="A987" s="62"/>
      <c r="B987" s="62"/>
      <c r="C987" s="76"/>
      <c r="D987" s="77"/>
      <c r="E987" s="62"/>
      <c r="F987" s="62"/>
      <c r="G987" s="76"/>
      <c r="H987" s="76"/>
      <c r="I987" s="76"/>
      <c r="J987" s="76"/>
      <c r="K987" s="76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spans="1:26" ht="15.75" customHeight="1" x14ac:dyDescent="0.25">
      <c r="A988" s="62"/>
      <c r="B988" s="62"/>
      <c r="C988" s="76"/>
      <c r="D988" s="77"/>
      <c r="E988" s="62"/>
      <c r="F988" s="62"/>
      <c r="G988" s="76"/>
      <c r="H988" s="76"/>
      <c r="I988" s="76"/>
      <c r="J988" s="76"/>
      <c r="K988" s="76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spans="1:26" ht="15.75" customHeight="1" x14ac:dyDescent="0.25">
      <c r="A989" s="62"/>
      <c r="B989" s="62"/>
      <c r="C989" s="76"/>
      <c r="D989" s="77"/>
      <c r="E989" s="62"/>
      <c r="F989" s="62"/>
      <c r="G989" s="76"/>
      <c r="H989" s="76"/>
      <c r="I989" s="76"/>
      <c r="J989" s="76"/>
      <c r="K989" s="76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spans="1:26" ht="15.75" customHeight="1" x14ac:dyDescent="0.25">
      <c r="A990" s="62"/>
      <c r="B990" s="62"/>
      <c r="C990" s="76"/>
      <c r="D990" s="77"/>
      <c r="E990" s="62"/>
      <c r="F990" s="62"/>
      <c r="G990" s="76"/>
      <c r="H990" s="76"/>
      <c r="I990" s="76"/>
      <c r="J990" s="76"/>
      <c r="K990" s="76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spans="1:26" ht="15.75" customHeight="1" x14ac:dyDescent="0.25">
      <c r="A991" s="62"/>
      <c r="B991" s="62"/>
      <c r="C991" s="76"/>
      <c r="D991" s="77"/>
      <c r="E991" s="62"/>
      <c r="F991" s="62"/>
      <c r="G991" s="76"/>
      <c r="H991" s="76"/>
      <c r="I991" s="76"/>
      <c r="J991" s="76"/>
      <c r="K991" s="76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spans="1:26" ht="15.75" customHeight="1" x14ac:dyDescent="0.25">
      <c r="A992" s="62"/>
      <c r="B992" s="62"/>
      <c r="C992" s="76"/>
      <c r="D992" s="77"/>
      <c r="E992" s="62"/>
      <c r="F992" s="62"/>
      <c r="G992" s="76"/>
      <c r="H992" s="76"/>
      <c r="I992" s="76"/>
      <c r="J992" s="76"/>
      <c r="K992" s="76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spans="1:26" ht="15.75" customHeight="1" x14ac:dyDescent="0.25">
      <c r="A993" s="62"/>
      <c r="B993" s="62"/>
      <c r="C993" s="76"/>
      <c r="D993" s="77"/>
      <c r="E993" s="62"/>
      <c r="F993" s="62"/>
      <c r="G993" s="76"/>
      <c r="H993" s="76"/>
      <c r="I993" s="76"/>
      <c r="J993" s="76"/>
      <c r="K993" s="76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spans="1:26" ht="15.75" customHeight="1" x14ac:dyDescent="0.25">
      <c r="A994" s="62"/>
      <c r="B994" s="62"/>
      <c r="C994" s="76"/>
      <c r="D994" s="77"/>
      <c r="E994" s="62"/>
      <c r="F994" s="62"/>
      <c r="G994" s="76"/>
      <c r="H994" s="76"/>
      <c r="I994" s="76"/>
      <c r="J994" s="76"/>
      <c r="K994" s="76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spans="1:26" ht="15.75" customHeight="1" x14ac:dyDescent="0.25">
      <c r="A995" s="62"/>
      <c r="B995" s="62"/>
      <c r="C995" s="76"/>
      <c r="D995" s="77"/>
      <c r="E995" s="62"/>
      <c r="F995" s="62"/>
      <c r="G995" s="76"/>
      <c r="H995" s="76"/>
      <c r="I995" s="76"/>
      <c r="J995" s="76"/>
      <c r="K995" s="76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spans="1:26" ht="15.75" customHeight="1" x14ac:dyDescent="0.25">
      <c r="A996" s="62"/>
      <c r="B996" s="62"/>
      <c r="C996" s="76"/>
      <c r="D996" s="77"/>
      <c r="E996" s="62"/>
      <c r="F996" s="62"/>
      <c r="G996" s="76"/>
      <c r="H996" s="76"/>
      <c r="I996" s="76"/>
      <c r="J996" s="76"/>
      <c r="K996" s="76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spans="1:26" ht="15.75" customHeight="1" x14ac:dyDescent="0.25">
      <c r="A997" s="62"/>
      <c r="B997" s="62"/>
      <c r="C997" s="76"/>
      <c r="D997" s="77"/>
      <c r="E997" s="62"/>
      <c r="F997" s="62"/>
      <c r="G997" s="76"/>
      <c r="H997" s="76"/>
      <c r="I997" s="76"/>
      <c r="J997" s="76"/>
      <c r="K997" s="76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spans="1:26" ht="15.75" customHeight="1" x14ac:dyDescent="0.25">
      <c r="A998" s="62"/>
      <c r="B998" s="62"/>
      <c r="C998" s="76"/>
      <c r="D998" s="77"/>
      <c r="E998" s="62"/>
      <c r="F998" s="62"/>
      <c r="G998" s="76"/>
      <c r="H998" s="76"/>
      <c r="I998" s="76"/>
      <c r="J998" s="76"/>
      <c r="K998" s="76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spans="1:26" ht="15.75" customHeight="1" x14ac:dyDescent="0.25">
      <c r="A999" s="62"/>
      <c r="B999" s="62"/>
      <c r="C999" s="76"/>
      <c r="D999" s="77"/>
      <c r="E999" s="62"/>
      <c r="F999" s="62"/>
      <c r="G999" s="76"/>
      <c r="H999" s="76"/>
      <c r="I999" s="76"/>
      <c r="J999" s="76"/>
      <c r="K999" s="76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spans="1:26" ht="15.75" customHeight="1" x14ac:dyDescent="0.25">
      <c r="A1000" s="62"/>
      <c r="B1000" s="62"/>
      <c r="C1000" s="76"/>
      <c r="D1000" s="77"/>
      <c r="E1000" s="62"/>
      <c r="F1000" s="62"/>
      <c r="G1000" s="76"/>
      <c r="H1000" s="76"/>
      <c r="I1000" s="76"/>
      <c r="J1000" s="76"/>
      <c r="K1000" s="76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4">
    <mergeCell ref="B2:C2"/>
    <mergeCell ref="B13:C13"/>
    <mergeCell ref="B23:C23"/>
    <mergeCell ref="B37:C37"/>
  </mergeCells>
  <dataValidations count="1">
    <dataValidation type="list" allowBlank="1" showErrorMessage="1" sqref="C11" xr:uid="{00000000-0002-0000-0300-000000000000}">
      <formula1>"Ja,Nei"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2"/>
  <sheetViews>
    <sheetView tabSelected="1" workbookViewId="0">
      <selection activeCell="A6" sqref="A6:XFD6"/>
    </sheetView>
  </sheetViews>
  <sheetFormatPr baseColWidth="10" defaultColWidth="12.5703125" defaultRowHeight="15" customHeight="1" x14ac:dyDescent="0.2"/>
  <cols>
    <col min="1" max="1" width="23.42578125" bestFit="1" customWidth="1"/>
    <col min="2" max="2" width="24.7109375" bestFit="1" customWidth="1"/>
    <col min="3" max="3" width="22" bestFit="1" customWidth="1"/>
    <col min="4" max="4" width="24" bestFit="1" customWidth="1"/>
    <col min="5" max="5" width="44" bestFit="1" customWidth="1"/>
    <col min="6" max="6" width="35.42578125" bestFit="1" customWidth="1"/>
  </cols>
  <sheetData>
    <row r="1" spans="1:6" ht="20.25" x14ac:dyDescent="0.3">
      <c r="A1" s="181" t="s">
        <v>219</v>
      </c>
      <c r="B1" s="181"/>
      <c r="C1" s="181"/>
      <c r="D1" s="181"/>
      <c r="E1" s="181"/>
      <c r="F1" s="181"/>
    </row>
    <row r="2" spans="1:6" ht="12.75" x14ac:dyDescent="0.2"/>
    <row r="3" spans="1:6" ht="15.75" x14ac:dyDescent="0.25">
      <c r="A3" s="182" t="s">
        <v>220</v>
      </c>
      <c r="B3" s="182"/>
      <c r="C3" s="182"/>
      <c r="D3" s="182"/>
      <c r="E3" s="182"/>
      <c r="F3" s="182"/>
    </row>
    <row r="4" spans="1:6" x14ac:dyDescent="0.25">
      <c r="A4" s="183" t="s">
        <v>221</v>
      </c>
      <c r="B4" s="183" t="s">
        <v>222</v>
      </c>
      <c r="C4" s="183" t="s">
        <v>223</v>
      </c>
      <c r="D4" s="183" t="s">
        <v>224</v>
      </c>
      <c r="E4" s="183" t="s">
        <v>225</v>
      </c>
      <c r="F4" s="183" t="s">
        <v>226</v>
      </c>
    </row>
    <row r="5" spans="1:6" ht="12.75" x14ac:dyDescent="0.2">
      <c r="A5" s="184" t="s">
        <v>227</v>
      </c>
      <c r="B5" s="185">
        <v>3</v>
      </c>
      <c r="C5" s="185">
        <v>3</v>
      </c>
      <c r="D5" s="186">
        <f>B5*C5</f>
        <v>9</v>
      </c>
      <c r="E5" s="185" t="s">
        <v>228</v>
      </c>
      <c r="F5" s="185" t="s">
        <v>229</v>
      </c>
    </row>
    <row r="6" spans="1:6" ht="12.75" x14ac:dyDescent="0.2">
      <c r="A6" s="184" t="s">
        <v>230</v>
      </c>
      <c r="B6" s="185">
        <v>2</v>
      </c>
      <c r="C6" s="185">
        <v>4</v>
      </c>
      <c r="D6" s="186">
        <f>B6*C6</f>
        <v>8</v>
      </c>
      <c r="E6" s="185" t="s">
        <v>231</v>
      </c>
      <c r="F6" s="185" t="s">
        <v>232</v>
      </c>
    </row>
    <row r="7" spans="1:6" ht="12.75" x14ac:dyDescent="0.2">
      <c r="A7" s="184" t="s">
        <v>233</v>
      </c>
      <c r="B7" s="185">
        <v>4</v>
      </c>
      <c r="C7" s="185">
        <v>3</v>
      </c>
      <c r="D7" s="186">
        <f>B7*C7</f>
        <v>12</v>
      </c>
      <c r="E7" s="185" t="s">
        <v>234</v>
      </c>
      <c r="F7" s="185" t="s">
        <v>235</v>
      </c>
    </row>
    <row r="8" spans="1:6" ht="12.75" x14ac:dyDescent="0.2">
      <c r="A8" s="184" t="s">
        <v>236</v>
      </c>
      <c r="B8" s="185">
        <v>2</v>
      </c>
      <c r="C8" s="185">
        <v>4</v>
      </c>
      <c r="D8" s="186">
        <f>B8*C8</f>
        <v>8</v>
      </c>
      <c r="E8" s="185" t="s">
        <v>237</v>
      </c>
      <c r="F8" s="185" t="s">
        <v>238</v>
      </c>
    </row>
    <row r="9" spans="1:6" ht="12.75" x14ac:dyDescent="0.2">
      <c r="A9" s="184" t="s">
        <v>239</v>
      </c>
      <c r="B9" s="185">
        <v>3</v>
      </c>
      <c r="C9" s="185">
        <v>2</v>
      </c>
      <c r="D9" s="186">
        <f>B9*C9</f>
        <v>6</v>
      </c>
      <c r="E9" s="185" t="s">
        <v>240</v>
      </c>
      <c r="F9" s="185" t="s">
        <v>241</v>
      </c>
    </row>
    <row r="10" spans="1:6" ht="12.75" x14ac:dyDescent="0.2"/>
    <row r="11" spans="1:6" ht="12.75" x14ac:dyDescent="0.2"/>
    <row r="12" spans="1:6" ht="15.75" x14ac:dyDescent="0.25">
      <c r="A12" s="182" t="s">
        <v>242</v>
      </c>
      <c r="B12" s="182"/>
      <c r="C12" s="182"/>
      <c r="D12" s="182"/>
      <c r="E12" s="182"/>
      <c r="F12" s="182"/>
    </row>
    <row r="13" spans="1:6" x14ac:dyDescent="0.25">
      <c r="A13" s="183" t="s">
        <v>243</v>
      </c>
      <c r="B13" s="183" t="s">
        <v>244</v>
      </c>
      <c r="C13" s="183" t="s">
        <v>245</v>
      </c>
      <c r="D13" s="183" t="s">
        <v>246</v>
      </c>
      <c r="E13" s="183" t="s">
        <v>247</v>
      </c>
      <c r="F13" s="183" t="s">
        <v>248</v>
      </c>
    </row>
    <row r="14" spans="1:6" ht="12.75" x14ac:dyDescent="0.2">
      <c r="A14" s="184" t="s">
        <v>249</v>
      </c>
      <c r="B14" s="185" t="s">
        <v>250</v>
      </c>
      <c r="C14" s="185" t="s">
        <v>251</v>
      </c>
      <c r="D14" s="185" t="s">
        <v>252</v>
      </c>
      <c r="E14" s="185" t="s">
        <v>253</v>
      </c>
      <c r="F14" s="185" t="s">
        <v>254</v>
      </c>
    </row>
    <row r="15" spans="1:6" ht="12.75" x14ac:dyDescent="0.2">
      <c r="A15" s="184" t="s">
        <v>230</v>
      </c>
      <c r="B15" s="185" t="s">
        <v>255</v>
      </c>
      <c r="C15" s="185" t="s">
        <v>256</v>
      </c>
      <c r="D15" s="185" t="s">
        <v>257</v>
      </c>
      <c r="E15" s="185" t="s">
        <v>258</v>
      </c>
      <c r="F15" s="185" t="s">
        <v>259</v>
      </c>
    </row>
    <row r="16" spans="1:6" ht="12.75" x14ac:dyDescent="0.2">
      <c r="A16" s="184" t="s">
        <v>260</v>
      </c>
      <c r="B16" s="185" t="s">
        <v>261</v>
      </c>
      <c r="C16" s="185" t="s">
        <v>262</v>
      </c>
      <c r="D16" s="185" t="s">
        <v>263</v>
      </c>
      <c r="E16" s="185" t="s">
        <v>264</v>
      </c>
      <c r="F16" s="185" t="s">
        <v>265</v>
      </c>
    </row>
    <row r="17" spans="1:6" ht="12.75" x14ac:dyDescent="0.2">
      <c r="A17" s="184" t="s">
        <v>266</v>
      </c>
      <c r="B17" s="185" t="s">
        <v>267</v>
      </c>
      <c r="C17" s="185" t="s">
        <v>268</v>
      </c>
      <c r="D17" s="185" t="s">
        <v>269</v>
      </c>
      <c r="E17" s="185" t="s">
        <v>270</v>
      </c>
      <c r="F17" s="185" t="s">
        <v>271</v>
      </c>
    </row>
    <row r="19" spans="1:6" ht="15.75" x14ac:dyDescent="0.25">
      <c r="A19" s="182" t="s">
        <v>272</v>
      </c>
      <c r="B19" s="182"/>
      <c r="C19" s="182"/>
      <c r="D19" s="182"/>
      <c r="E19" s="182"/>
      <c r="F19" s="182"/>
    </row>
    <row r="20" spans="1:6" ht="12.75" x14ac:dyDescent="0.2"/>
    <row r="21" spans="1:6" ht="12.75" x14ac:dyDescent="0.2">
      <c r="A21" s="184" t="s">
        <v>273</v>
      </c>
      <c r="B21" s="186">
        <f>AVERAGE(D5:D9)</f>
        <v>8.6</v>
      </c>
    </row>
    <row r="22" spans="1:6" ht="14.25" x14ac:dyDescent="0.2">
      <c r="A22" s="184" t="s">
        <v>274</v>
      </c>
      <c r="B22" s="187" t="s">
        <v>275</v>
      </c>
      <c r="C22" s="187"/>
      <c r="D22" s="187"/>
      <c r="E22" s="187"/>
      <c r="F22" s="187"/>
    </row>
  </sheetData>
  <mergeCells count="5">
    <mergeCell ref="A1:F1"/>
    <mergeCell ref="A3:F3"/>
    <mergeCell ref="A12:F12"/>
    <mergeCell ref="A19:F19"/>
    <mergeCell ref="B22:F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2.5703125" defaultRowHeight="15" customHeight="1" x14ac:dyDescent="0.2"/>
  <cols>
    <col min="1" max="1" width="2.140625" customWidth="1"/>
    <col min="2" max="2" width="23.42578125" customWidth="1"/>
    <col min="3" max="3" width="16.42578125" customWidth="1"/>
    <col min="4" max="4" width="11.85546875" customWidth="1"/>
    <col min="5" max="5" width="16.140625" customWidth="1"/>
    <col min="6" max="6" width="11.85546875" customWidth="1"/>
    <col min="7" max="7" width="11.5703125" customWidth="1"/>
    <col min="8" max="8" width="12.42578125" customWidth="1"/>
    <col min="9" max="9" width="8.5703125" customWidth="1"/>
    <col min="10" max="10" width="2" customWidth="1"/>
    <col min="11" max="26" width="9.140625" customWidth="1"/>
  </cols>
  <sheetData>
    <row r="1" spans="1:26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26" ht="25.5" customHeight="1" x14ac:dyDescent="0.35">
      <c r="A2" s="1"/>
      <c r="B2" s="173" t="s">
        <v>115</v>
      </c>
      <c r="C2" s="171"/>
      <c r="D2" s="171"/>
      <c r="E2" s="171"/>
      <c r="F2" s="171"/>
      <c r="G2" s="171"/>
      <c r="H2" s="171"/>
      <c r="I2" s="171"/>
      <c r="J2" s="1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2.75" x14ac:dyDescent="0.2">
      <c r="A3" s="1"/>
      <c r="J3" s="1"/>
    </row>
    <row r="4" spans="1:26" ht="18" x14ac:dyDescent="0.25">
      <c r="A4" s="1"/>
      <c r="B4" s="174" t="s">
        <v>116</v>
      </c>
      <c r="C4" s="175"/>
      <c r="D4" s="26" t="s">
        <v>117</v>
      </c>
      <c r="E4" s="26" t="s">
        <v>118</v>
      </c>
      <c r="F4" s="25">
        <v>2021</v>
      </c>
      <c r="G4" s="26"/>
      <c r="H4" s="26"/>
      <c r="I4" s="26"/>
      <c r="J4" s="1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2.75" customHeight="1" x14ac:dyDescent="0.2">
      <c r="A5" s="1"/>
      <c r="B5" s="5" t="s">
        <v>119</v>
      </c>
      <c r="C5" s="5" t="s">
        <v>120</v>
      </c>
      <c r="D5" s="5" t="s">
        <v>121</v>
      </c>
      <c r="E5" s="5" t="s">
        <v>122</v>
      </c>
      <c r="F5" s="5" t="s">
        <v>123</v>
      </c>
      <c r="J5" s="1"/>
    </row>
    <row r="6" spans="1:26" ht="12.75" customHeight="1" x14ac:dyDescent="0.2">
      <c r="A6" s="1"/>
      <c r="B6" s="5" t="s">
        <v>124</v>
      </c>
      <c r="E6" s="5" t="s">
        <v>125</v>
      </c>
      <c r="J6" s="1"/>
    </row>
    <row r="7" spans="1:26" ht="12.75" customHeight="1" x14ac:dyDescent="0.25">
      <c r="A7" s="1"/>
      <c r="B7" s="5" t="s">
        <v>126</v>
      </c>
      <c r="C7" s="5" t="s">
        <v>127</v>
      </c>
      <c r="D7" s="5" t="s">
        <v>128</v>
      </c>
      <c r="F7" s="27" t="s">
        <v>38</v>
      </c>
      <c r="G7" s="28" t="s">
        <v>39</v>
      </c>
      <c r="H7" s="99" t="s">
        <v>40</v>
      </c>
      <c r="J7" s="1"/>
    </row>
    <row r="8" spans="1:26" ht="12.75" customHeight="1" x14ac:dyDescent="0.25">
      <c r="A8" s="1"/>
      <c r="B8" s="5" t="s">
        <v>129</v>
      </c>
      <c r="C8" s="23">
        <v>43831</v>
      </c>
      <c r="D8" s="23">
        <v>44196</v>
      </c>
      <c r="F8" s="100">
        <v>3150000</v>
      </c>
      <c r="G8" s="100">
        <v>2200000</v>
      </c>
      <c r="H8" s="101">
        <f>G8/F8</f>
        <v>0.69841269841269837</v>
      </c>
      <c r="J8" s="1"/>
    </row>
    <row r="9" spans="1:26" ht="12.75" customHeight="1" x14ac:dyDescent="0.2">
      <c r="A9" s="1"/>
      <c r="B9" s="5" t="s">
        <v>129</v>
      </c>
      <c r="C9" s="23"/>
      <c r="E9" s="4"/>
      <c r="J9" s="1"/>
    </row>
    <row r="10" spans="1:26" ht="10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26" ht="10.5" customHeight="1" x14ac:dyDescent="0.2">
      <c r="A11" s="1"/>
      <c r="J11" s="1"/>
    </row>
    <row r="12" spans="1:26" ht="12.75" customHeight="1" x14ac:dyDescent="0.2">
      <c r="A12" s="1"/>
      <c r="C12" s="102" t="s">
        <v>130</v>
      </c>
      <c r="D12" s="103" t="s">
        <v>46</v>
      </c>
      <c r="E12" s="103" t="s">
        <v>131</v>
      </c>
      <c r="F12" s="103" t="s">
        <v>132</v>
      </c>
      <c r="G12" s="103" t="s">
        <v>55</v>
      </c>
      <c r="H12" s="104" t="s">
        <v>133</v>
      </c>
      <c r="J12" s="1"/>
    </row>
    <row r="13" spans="1:26" ht="12.75" customHeight="1" x14ac:dyDescent="0.2">
      <c r="A13" s="1"/>
      <c r="C13" s="105" t="s">
        <v>134</v>
      </c>
      <c r="D13" s="106">
        <v>14000</v>
      </c>
      <c r="E13" s="106">
        <v>2000</v>
      </c>
      <c r="F13" s="107">
        <v>1900</v>
      </c>
      <c r="G13" s="107"/>
      <c r="H13" s="108"/>
      <c r="J13" s="1"/>
    </row>
    <row r="14" spans="1:26" ht="12.75" customHeight="1" x14ac:dyDescent="0.2">
      <c r="A14" s="1"/>
      <c r="C14" s="105" t="s">
        <v>135</v>
      </c>
      <c r="D14" s="106">
        <v>14000</v>
      </c>
      <c r="E14" s="106">
        <v>2000</v>
      </c>
      <c r="F14" s="107"/>
      <c r="G14" s="107">
        <v>2000</v>
      </c>
      <c r="H14" s="108" t="s">
        <v>136</v>
      </c>
      <c r="J14" s="1"/>
    </row>
    <row r="15" spans="1:26" ht="12.75" customHeight="1" x14ac:dyDescent="0.2">
      <c r="A15" s="1"/>
      <c r="C15" s="105" t="s">
        <v>137</v>
      </c>
      <c r="D15" s="106">
        <v>14000</v>
      </c>
      <c r="E15" s="106">
        <v>2000</v>
      </c>
      <c r="F15" s="107"/>
      <c r="G15" s="107"/>
      <c r="H15" s="108"/>
      <c r="J15" s="1"/>
    </row>
    <row r="16" spans="1:26" ht="12.75" customHeight="1" x14ac:dyDescent="0.2">
      <c r="A16" s="1"/>
      <c r="C16" s="105" t="s">
        <v>138</v>
      </c>
      <c r="D16" s="106">
        <v>14000</v>
      </c>
      <c r="E16" s="106">
        <v>2000</v>
      </c>
      <c r="F16" s="107">
        <v>1900</v>
      </c>
      <c r="G16" s="107"/>
      <c r="H16" s="108"/>
      <c r="J16" s="1"/>
    </row>
    <row r="17" spans="1:12" ht="12.75" customHeight="1" x14ac:dyDescent="0.2">
      <c r="A17" s="1"/>
      <c r="C17" s="105" t="s">
        <v>139</v>
      </c>
      <c r="D17" s="106">
        <v>14000</v>
      </c>
      <c r="E17" s="106">
        <v>2000</v>
      </c>
      <c r="F17" s="107"/>
      <c r="G17" s="107"/>
      <c r="H17" s="108"/>
      <c r="J17" s="1"/>
    </row>
    <row r="18" spans="1:12" ht="12.75" customHeight="1" x14ac:dyDescent="0.2">
      <c r="A18" s="1"/>
      <c r="C18" s="105" t="s">
        <v>140</v>
      </c>
      <c r="D18" s="106">
        <v>14000</v>
      </c>
      <c r="E18" s="106">
        <v>2000</v>
      </c>
      <c r="F18" s="107"/>
      <c r="G18" s="107">
        <v>1000</v>
      </c>
      <c r="H18" s="108" t="s">
        <v>141</v>
      </c>
      <c r="J18" s="1"/>
    </row>
    <row r="19" spans="1:12" ht="12.75" customHeight="1" x14ac:dyDescent="0.2">
      <c r="A19" s="1"/>
      <c r="C19" s="105" t="s">
        <v>142</v>
      </c>
      <c r="D19" s="106">
        <v>14000</v>
      </c>
      <c r="E19" s="106">
        <v>2000</v>
      </c>
      <c r="F19" s="107">
        <v>1900</v>
      </c>
      <c r="G19" s="107"/>
      <c r="H19" s="108"/>
      <c r="J19" s="1"/>
    </row>
    <row r="20" spans="1:12" ht="12.75" customHeight="1" x14ac:dyDescent="0.2">
      <c r="A20" s="1"/>
      <c r="C20" s="105" t="s">
        <v>143</v>
      </c>
      <c r="D20" s="106">
        <v>14000</v>
      </c>
      <c r="E20" s="106">
        <v>2000</v>
      </c>
      <c r="F20" s="107"/>
      <c r="G20" s="107"/>
      <c r="H20" s="108"/>
      <c r="J20" s="1"/>
      <c r="L20" s="59"/>
    </row>
    <row r="21" spans="1:12" ht="12.75" customHeight="1" x14ac:dyDescent="0.2">
      <c r="A21" s="1"/>
      <c r="C21" s="105" t="s">
        <v>144</v>
      </c>
      <c r="D21" s="106">
        <v>14000</v>
      </c>
      <c r="E21" s="106">
        <v>2000</v>
      </c>
      <c r="F21" s="107"/>
      <c r="G21" s="107"/>
      <c r="H21" s="108"/>
      <c r="J21" s="1"/>
    </row>
    <row r="22" spans="1:12" ht="12.75" customHeight="1" x14ac:dyDescent="0.2">
      <c r="A22" s="1"/>
      <c r="C22" s="105" t="s">
        <v>145</v>
      </c>
      <c r="D22" s="106">
        <v>14000</v>
      </c>
      <c r="E22" s="106">
        <v>2000</v>
      </c>
      <c r="F22" s="107">
        <v>1900</v>
      </c>
      <c r="G22" s="107"/>
      <c r="H22" s="108"/>
      <c r="J22" s="1"/>
      <c r="L22" s="59"/>
    </row>
    <row r="23" spans="1:12" ht="12.75" customHeight="1" x14ac:dyDescent="0.2">
      <c r="A23" s="1"/>
      <c r="C23" s="105" t="s">
        <v>146</v>
      </c>
      <c r="D23" s="106">
        <v>14000</v>
      </c>
      <c r="E23" s="106">
        <v>2000</v>
      </c>
      <c r="F23" s="107"/>
      <c r="G23" s="107"/>
      <c r="H23" s="108"/>
      <c r="J23" s="1"/>
      <c r="L23" s="59"/>
    </row>
    <row r="24" spans="1:12" ht="12.75" customHeight="1" x14ac:dyDescent="0.2">
      <c r="A24" s="1"/>
      <c r="C24" s="105" t="s">
        <v>147</v>
      </c>
      <c r="D24" s="106">
        <v>14000</v>
      </c>
      <c r="E24" s="106">
        <v>2000</v>
      </c>
      <c r="F24" s="107"/>
      <c r="G24" s="107">
        <v>2000</v>
      </c>
      <c r="H24" s="108" t="s">
        <v>148</v>
      </c>
      <c r="J24" s="1"/>
      <c r="L24" s="59"/>
    </row>
    <row r="25" spans="1:12" ht="12.75" customHeight="1" x14ac:dyDescent="0.2">
      <c r="A25" s="1"/>
      <c r="C25" s="109" t="s">
        <v>149</v>
      </c>
      <c r="D25" s="110">
        <f t="shared" ref="D25:G25" si="0">SUM(D13:D24)</f>
        <v>168000</v>
      </c>
      <c r="E25" s="110">
        <f t="shared" si="0"/>
        <v>24000</v>
      </c>
      <c r="F25" s="111">
        <f t="shared" si="0"/>
        <v>7600</v>
      </c>
      <c r="G25" s="110">
        <f t="shared" si="0"/>
        <v>5000</v>
      </c>
      <c r="H25" s="112"/>
      <c r="J25" s="1"/>
    </row>
    <row r="26" spans="1:12" ht="12.75" customHeight="1" x14ac:dyDescent="0.2">
      <c r="A26" s="1"/>
      <c r="J26" s="1"/>
      <c r="L26" s="59"/>
    </row>
    <row r="27" spans="1:12" ht="12.75" customHeight="1" x14ac:dyDescent="0.2">
      <c r="A27" s="1"/>
      <c r="C27" s="113" t="s">
        <v>150</v>
      </c>
      <c r="D27" s="114">
        <f>D25-E25-F25-G25</f>
        <v>131400</v>
      </c>
      <c r="E27" s="115" t="s">
        <v>151</v>
      </c>
      <c r="F27" s="116"/>
      <c r="G27" s="115"/>
      <c r="H27" s="116"/>
      <c r="J27" s="1"/>
    </row>
    <row r="28" spans="1:12" ht="12.75" customHeight="1" x14ac:dyDescent="0.2">
      <c r="A28" s="1"/>
      <c r="E28" s="59"/>
      <c r="J28" s="1"/>
    </row>
    <row r="29" spans="1:12" ht="12.75" customHeight="1" x14ac:dyDescent="0.2">
      <c r="A29" s="1"/>
      <c r="C29" s="117" t="s">
        <v>152</v>
      </c>
      <c r="D29" s="118">
        <f>D27*0.22</f>
        <v>28908</v>
      </c>
      <c r="J29" s="1"/>
    </row>
    <row r="30" spans="1:12" ht="12.75" customHeight="1" x14ac:dyDescent="0.2">
      <c r="A30" s="1"/>
      <c r="J30" s="1"/>
    </row>
    <row r="31" spans="1:12" ht="12.75" customHeight="1" x14ac:dyDescent="0.2">
      <c r="A31" s="1"/>
      <c r="C31" s="67" t="s">
        <v>153</v>
      </c>
      <c r="D31" s="68"/>
      <c r="E31" s="69"/>
      <c r="J31" s="1"/>
    </row>
    <row r="32" spans="1:12" ht="9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2:8" ht="12.75" customHeight="1" x14ac:dyDescent="0.2"/>
    <row r="34" spans="2:8" ht="12.75" customHeight="1" x14ac:dyDescent="0.2"/>
    <row r="35" spans="2:8" ht="12.75" customHeight="1" x14ac:dyDescent="0.2"/>
    <row r="36" spans="2:8" ht="12.75" customHeight="1" x14ac:dyDescent="0.2">
      <c r="B36" s="5" t="s">
        <v>154</v>
      </c>
      <c r="G36" s="15"/>
      <c r="H36" s="15"/>
    </row>
    <row r="37" spans="2:8" ht="12.75" customHeight="1" x14ac:dyDescent="0.2">
      <c r="G37" s="15"/>
      <c r="H37" s="15"/>
    </row>
    <row r="38" spans="2:8" ht="12.75" customHeight="1" x14ac:dyDescent="0.2">
      <c r="G38" s="4"/>
      <c r="H38" s="4"/>
    </row>
    <row r="39" spans="2:8" ht="12.75" customHeight="1" x14ac:dyDescent="0.2">
      <c r="F39" s="4"/>
      <c r="G39" s="4"/>
      <c r="H39" s="4"/>
    </row>
    <row r="40" spans="2:8" ht="12.75" customHeight="1" x14ac:dyDescent="0.2">
      <c r="G40" s="15"/>
      <c r="H40" s="15"/>
    </row>
    <row r="41" spans="2:8" ht="12.75" customHeight="1" x14ac:dyDescent="0.2">
      <c r="G41" s="15"/>
      <c r="H41" s="15"/>
    </row>
    <row r="42" spans="2:8" ht="12.75" customHeight="1" x14ac:dyDescent="0.2">
      <c r="G42" s="4"/>
      <c r="H42" s="4"/>
    </row>
    <row r="43" spans="2:8" ht="12.75" customHeight="1" x14ac:dyDescent="0.2">
      <c r="G43" s="15"/>
      <c r="H43" s="15"/>
    </row>
    <row r="44" spans="2:8" ht="12.75" customHeight="1" x14ac:dyDescent="0.2">
      <c r="G44" s="15"/>
      <c r="H44" s="15"/>
    </row>
    <row r="45" spans="2:8" ht="12.75" customHeight="1" x14ac:dyDescent="0.2">
      <c r="G45" s="74"/>
      <c r="H45" s="59"/>
    </row>
    <row r="46" spans="2:8" ht="12.75" customHeight="1" x14ac:dyDescent="0.2">
      <c r="G46" s="75"/>
      <c r="H46" s="4"/>
    </row>
    <row r="47" spans="2:8" ht="12.75" customHeight="1" x14ac:dyDescent="0.2">
      <c r="G47" s="19"/>
      <c r="H47" s="15"/>
    </row>
    <row r="48" spans="2:8" ht="12.75" customHeight="1" x14ac:dyDescent="0.2">
      <c r="F48" s="4"/>
      <c r="G48" s="19"/>
      <c r="H48" s="15"/>
    </row>
    <row r="49" spans="6:8" ht="12.75" customHeight="1" x14ac:dyDescent="0.2">
      <c r="G49" s="19"/>
      <c r="H49" s="4"/>
    </row>
    <row r="50" spans="6:8" ht="12.75" customHeight="1" x14ac:dyDescent="0.2">
      <c r="G50" s="19"/>
      <c r="H50" s="15"/>
    </row>
    <row r="51" spans="6:8" ht="12.75" customHeight="1" x14ac:dyDescent="0.2">
      <c r="G51" s="19"/>
      <c r="H51" s="4"/>
    </row>
    <row r="52" spans="6:8" ht="12.75" customHeight="1" x14ac:dyDescent="0.2">
      <c r="G52" s="75"/>
      <c r="H52" s="15"/>
    </row>
    <row r="53" spans="6:8" ht="12.75" customHeight="1" x14ac:dyDescent="0.2">
      <c r="F53" s="4"/>
      <c r="G53" s="75"/>
      <c r="H53" s="4"/>
    </row>
    <row r="54" spans="6:8" ht="12.75" customHeight="1" x14ac:dyDescent="0.2">
      <c r="F54" s="4"/>
      <c r="G54" s="19"/>
    </row>
    <row r="55" spans="6:8" ht="12.75" customHeight="1" x14ac:dyDescent="0.2">
      <c r="G55" s="75"/>
      <c r="H55" s="4"/>
    </row>
    <row r="56" spans="6:8" ht="12.75" customHeight="1" x14ac:dyDescent="0.2">
      <c r="F56" s="4"/>
      <c r="G56" s="75"/>
      <c r="H56" s="4"/>
    </row>
    <row r="57" spans="6:8" ht="12.75" customHeight="1" x14ac:dyDescent="0.2">
      <c r="G57" s="19"/>
    </row>
    <row r="58" spans="6:8" ht="12.75" customHeight="1" x14ac:dyDescent="0.2">
      <c r="F58" s="4"/>
      <c r="G58" s="75"/>
      <c r="H58" s="4"/>
    </row>
    <row r="59" spans="6:8" ht="12.75" customHeight="1" x14ac:dyDescent="0.2">
      <c r="G59" s="19"/>
      <c r="H59" s="19"/>
    </row>
    <row r="60" spans="6:8" ht="12.75" customHeight="1" x14ac:dyDescent="0.2">
      <c r="G60" s="19"/>
    </row>
    <row r="61" spans="6:8" ht="12.75" customHeight="1" x14ac:dyDescent="0.2">
      <c r="G61" s="75"/>
      <c r="H61" s="4"/>
    </row>
    <row r="62" spans="6:8" ht="12.75" customHeight="1" x14ac:dyDescent="0.2">
      <c r="G62" s="19"/>
    </row>
    <row r="63" spans="6:8" ht="12.75" customHeight="1" x14ac:dyDescent="0.2">
      <c r="G63" s="75"/>
      <c r="H63" s="4"/>
    </row>
    <row r="64" spans="6:8" ht="12.75" customHeight="1" x14ac:dyDescent="0.2">
      <c r="G64" s="19"/>
    </row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B2:I2"/>
    <mergeCell ref="B4:C4"/>
  </mergeCells>
  <pageMargins left="0.74791666666666667" right="0.74791666666666667" top="0.98402777777777772" bottom="0.98402777777777772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x14ac:dyDescent="0.2"/>
  <cols>
    <col min="1" max="1" width="2.42578125" customWidth="1"/>
    <col min="2" max="2" width="23.42578125" customWidth="1"/>
    <col min="3" max="3" width="11" customWidth="1"/>
    <col min="4" max="4" width="9.42578125" customWidth="1"/>
    <col min="5" max="5" width="13.42578125" customWidth="1"/>
    <col min="6" max="6" width="23.85546875" customWidth="1"/>
    <col min="7" max="8" width="12.85546875" customWidth="1"/>
    <col min="9" max="9" width="2.85546875" customWidth="1"/>
    <col min="10" max="10" width="8.5703125" customWidth="1"/>
    <col min="11" max="11" width="12.42578125" customWidth="1"/>
    <col min="12" max="26" width="9.140625" customWidth="1"/>
  </cols>
  <sheetData>
    <row r="1" spans="1:26" ht="7.5" customHeight="1" x14ac:dyDescent="0.2">
      <c r="A1" s="1"/>
      <c r="B1" s="1"/>
      <c r="C1" s="1"/>
      <c r="D1" s="1"/>
      <c r="E1" s="1"/>
      <c r="F1" s="1"/>
      <c r="G1" s="1"/>
      <c r="H1" s="1"/>
      <c r="I1" s="1"/>
    </row>
    <row r="2" spans="1:26" ht="25.5" customHeight="1" x14ac:dyDescent="0.4">
      <c r="A2" s="1"/>
      <c r="B2" s="173" t="s">
        <v>155</v>
      </c>
      <c r="C2" s="171"/>
      <c r="D2" s="171"/>
      <c r="E2" s="171"/>
      <c r="F2" s="171"/>
      <c r="G2" s="171"/>
      <c r="H2" s="172"/>
      <c r="I2" s="1"/>
      <c r="J2" s="119"/>
      <c r="K2" s="119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6.75" customHeight="1" x14ac:dyDescent="0.2">
      <c r="A3" s="1"/>
      <c r="I3" s="1"/>
    </row>
    <row r="4" spans="1:26" ht="12.75" customHeight="1" x14ac:dyDescent="0.25">
      <c r="A4" s="1"/>
      <c r="B4" s="178" t="s">
        <v>156</v>
      </c>
      <c r="C4" s="172"/>
      <c r="D4" s="26"/>
      <c r="E4" s="26"/>
      <c r="F4" s="178" t="s">
        <v>157</v>
      </c>
      <c r="G4" s="172"/>
      <c r="H4" s="26"/>
      <c r="I4" s="1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2.75" customHeight="1" x14ac:dyDescent="0.2">
      <c r="A5" s="1"/>
      <c r="I5" s="1"/>
    </row>
    <row r="6" spans="1:26" ht="12.75" customHeight="1" x14ac:dyDescent="0.2">
      <c r="A6" s="1"/>
      <c r="B6" s="1"/>
      <c r="C6" s="1"/>
      <c r="D6" s="1"/>
      <c r="E6" s="1"/>
      <c r="F6" s="1"/>
      <c r="G6" s="1"/>
      <c r="H6" s="1"/>
      <c r="I6" s="1"/>
    </row>
    <row r="7" spans="1:26" ht="12.75" customHeight="1" x14ac:dyDescent="0.2">
      <c r="A7" s="1"/>
      <c r="I7" s="1"/>
    </row>
    <row r="8" spans="1:26" ht="12.75" customHeight="1" x14ac:dyDescent="0.25">
      <c r="A8" s="1"/>
      <c r="B8" s="35" t="s">
        <v>38</v>
      </c>
      <c r="C8" s="120" t="s">
        <v>39</v>
      </c>
      <c r="D8" s="120" t="s">
        <v>40</v>
      </c>
      <c r="E8" s="120" t="s">
        <v>41</v>
      </c>
      <c r="F8" s="120" t="s">
        <v>38</v>
      </c>
      <c r="G8" s="120" t="s">
        <v>39</v>
      </c>
      <c r="H8" s="121" t="s">
        <v>40</v>
      </c>
      <c r="I8" s="1"/>
    </row>
    <row r="9" spans="1:26" ht="12.75" customHeight="1" x14ac:dyDescent="0.25">
      <c r="A9" s="1"/>
      <c r="B9" s="100">
        <v>2750000</v>
      </c>
      <c r="C9" s="32">
        <f>C14</f>
        <v>1530000</v>
      </c>
      <c r="D9" s="33">
        <f>C9/B9</f>
        <v>0.55636363636363639</v>
      </c>
      <c r="E9" s="122">
        <v>0</v>
      </c>
      <c r="F9" s="123">
        <v>3600000</v>
      </c>
      <c r="G9" s="32">
        <f>G14</f>
        <v>2040000</v>
      </c>
      <c r="H9" s="101">
        <f>G9/F9</f>
        <v>0.56666666666666665</v>
      </c>
      <c r="I9" s="1"/>
    </row>
    <row r="10" spans="1:26" ht="12.75" customHeight="1" x14ac:dyDescent="0.2">
      <c r="A10" s="1"/>
      <c r="C10" s="4"/>
      <c r="D10" s="4"/>
      <c r="E10" s="4"/>
      <c r="I10" s="1"/>
    </row>
    <row r="11" spans="1:26" ht="12.75" customHeight="1" x14ac:dyDescent="0.25">
      <c r="A11" s="1"/>
      <c r="B11" s="124" t="s">
        <v>42</v>
      </c>
      <c r="C11" s="125"/>
      <c r="F11" s="124" t="s">
        <v>42</v>
      </c>
      <c r="G11" s="125"/>
      <c r="I11" s="1"/>
    </row>
    <row r="12" spans="1:26" ht="12.75" customHeight="1" x14ac:dyDescent="0.25">
      <c r="A12" s="1"/>
      <c r="B12" s="41" t="s">
        <v>45</v>
      </c>
      <c r="C12" s="126">
        <v>2550000</v>
      </c>
      <c r="F12" s="41" t="s">
        <v>45</v>
      </c>
      <c r="G12" s="126">
        <v>3400000</v>
      </c>
      <c r="I12" s="1"/>
    </row>
    <row r="13" spans="1:26" ht="12.75" customHeight="1" x14ac:dyDescent="0.25">
      <c r="A13" s="1"/>
      <c r="B13" s="46" t="s">
        <v>9</v>
      </c>
      <c r="C13" s="127">
        <v>2.5</v>
      </c>
      <c r="F13" s="46" t="s">
        <v>9</v>
      </c>
      <c r="G13" s="128">
        <f>C13</f>
        <v>2.5</v>
      </c>
      <c r="I13" s="1"/>
    </row>
    <row r="14" spans="1:26" ht="12.75" customHeight="1" x14ac:dyDescent="0.25">
      <c r="A14" s="1"/>
      <c r="B14" s="46" t="s">
        <v>8</v>
      </c>
      <c r="C14" s="50">
        <f>C12*C16</f>
        <v>1530000</v>
      </c>
      <c r="F14" s="46" t="s">
        <v>8</v>
      </c>
      <c r="G14" s="50">
        <f>G12*G16</f>
        <v>2040000</v>
      </c>
      <c r="I14" s="1"/>
    </row>
    <row r="15" spans="1:26" ht="12.75" customHeight="1" x14ac:dyDescent="0.25">
      <c r="A15" s="1"/>
      <c r="B15" s="46" t="s">
        <v>51</v>
      </c>
      <c r="C15" s="50">
        <f>C12-C14</f>
        <v>1020000</v>
      </c>
      <c r="F15" s="46" t="s">
        <v>51</v>
      </c>
      <c r="G15" s="50">
        <f>G12-G14</f>
        <v>1360000</v>
      </c>
      <c r="I15" s="1"/>
    </row>
    <row r="16" spans="1:26" ht="12.75" customHeight="1" x14ac:dyDescent="0.25">
      <c r="A16" s="1"/>
      <c r="B16" s="46" t="s">
        <v>54</v>
      </c>
      <c r="C16" s="129">
        <v>0.6</v>
      </c>
      <c r="F16" s="46" t="s">
        <v>54</v>
      </c>
      <c r="G16" s="129">
        <v>0.6</v>
      </c>
      <c r="I16" s="1"/>
    </row>
    <row r="17" spans="1:13" ht="12.75" customHeight="1" x14ac:dyDescent="0.25">
      <c r="A17" s="1"/>
      <c r="B17" s="41" t="s">
        <v>57</v>
      </c>
      <c r="C17" s="130">
        <v>12000</v>
      </c>
      <c r="F17" s="41" t="s">
        <v>57</v>
      </c>
      <c r="G17" s="130">
        <v>19000</v>
      </c>
      <c r="I17" s="1"/>
    </row>
    <row r="18" spans="1:13" ht="12.75" customHeight="1" x14ac:dyDescent="0.25">
      <c r="A18" s="1"/>
      <c r="B18" s="46" t="s">
        <v>59</v>
      </c>
      <c r="C18" s="130">
        <v>1650</v>
      </c>
      <c r="F18" s="46" t="s">
        <v>59</v>
      </c>
      <c r="G18" s="130">
        <v>2000</v>
      </c>
      <c r="I18" s="1"/>
    </row>
    <row r="19" spans="1:13" ht="12.75" customHeight="1" x14ac:dyDescent="0.25">
      <c r="A19" s="1"/>
      <c r="B19" s="46" t="s">
        <v>61</v>
      </c>
      <c r="C19" s="130">
        <v>700</v>
      </c>
      <c r="F19" s="46" t="s">
        <v>61</v>
      </c>
      <c r="G19" s="130">
        <v>800</v>
      </c>
      <c r="I19" s="1"/>
      <c r="M19" s="59"/>
    </row>
    <row r="20" spans="1:13" ht="12.75" customHeight="1" x14ac:dyDescent="0.25">
      <c r="A20" s="1"/>
      <c r="B20" s="46" t="s">
        <v>60</v>
      </c>
      <c r="C20" s="130">
        <f>C17*0.03</f>
        <v>360</v>
      </c>
      <c r="F20" s="46" t="s">
        <v>60</v>
      </c>
      <c r="G20" s="130">
        <f>G17*0.03</f>
        <v>570</v>
      </c>
      <c r="I20" s="1"/>
    </row>
    <row r="21" spans="1:13" ht="12.75" customHeight="1" x14ac:dyDescent="0.25">
      <c r="A21" s="1"/>
      <c r="B21" s="46" t="s">
        <v>52</v>
      </c>
      <c r="C21" s="130">
        <f>C17*0.05</f>
        <v>600</v>
      </c>
      <c r="F21" s="46" t="s">
        <v>52</v>
      </c>
      <c r="G21" s="130">
        <f>G17*0.05</f>
        <v>950</v>
      </c>
      <c r="I21" s="1"/>
      <c r="M21" s="59"/>
    </row>
    <row r="22" spans="1:13" ht="12.75" customHeight="1" x14ac:dyDescent="0.25">
      <c r="A22" s="1"/>
      <c r="B22" s="41" t="s">
        <v>63</v>
      </c>
      <c r="C22" s="130">
        <v>0</v>
      </c>
      <c r="F22" s="41" t="s">
        <v>63</v>
      </c>
      <c r="G22" s="130">
        <v>0</v>
      </c>
      <c r="I22" s="1"/>
      <c r="M22" s="59"/>
    </row>
    <row r="23" spans="1:13" ht="12.75" customHeight="1" x14ac:dyDescent="0.25">
      <c r="A23" s="1"/>
      <c r="B23" s="46" t="s">
        <v>158</v>
      </c>
      <c r="C23" s="51">
        <f>C17-C18-C19-C20-C21-C22</f>
        <v>8690</v>
      </c>
      <c r="F23" s="46" t="s">
        <v>158</v>
      </c>
      <c r="G23" s="51">
        <f>G17-G18-G19-G20-G21-G22</f>
        <v>14680</v>
      </c>
      <c r="I23" s="1"/>
      <c r="M23" s="59"/>
    </row>
    <row r="24" spans="1:13" ht="12.75" customHeight="1" x14ac:dyDescent="0.25">
      <c r="A24" s="1"/>
      <c r="B24" s="41" t="s">
        <v>65</v>
      </c>
      <c r="C24" s="51">
        <f>C23*0.22</f>
        <v>1911.8</v>
      </c>
      <c r="F24" s="41" t="s">
        <v>65</v>
      </c>
      <c r="G24" s="51">
        <f>G23*0.22</f>
        <v>3229.6</v>
      </c>
      <c r="I24" s="1"/>
    </row>
    <row r="25" spans="1:13" ht="12.75" customHeight="1" x14ac:dyDescent="0.25">
      <c r="A25" s="1"/>
      <c r="B25" s="46" t="s">
        <v>66</v>
      </c>
      <c r="C25" s="43">
        <f>C23-C24</f>
        <v>6778.2</v>
      </c>
      <c r="F25" s="46" t="s">
        <v>66</v>
      </c>
      <c r="G25" s="43">
        <f>G23-G24</f>
        <v>11450.4</v>
      </c>
      <c r="I25" s="1"/>
      <c r="M25" s="59"/>
    </row>
    <row r="26" spans="1:13" ht="12.75" customHeight="1" x14ac:dyDescent="0.25">
      <c r="A26" s="1"/>
      <c r="B26" s="46" t="s">
        <v>67</v>
      </c>
      <c r="C26" s="51">
        <f>'Lån A'!M4/12</f>
        <v>3206.4840234740041</v>
      </c>
      <c r="F26" s="46" t="s">
        <v>67</v>
      </c>
      <c r="G26" s="51">
        <f>'Lån B'!M4/12</f>
        <v>4257.9924672322859</v>
      </c>
      <c r="I26" s="1"/>
    </row>
    <row r="27" spans="1:13" ht="12.75" customHeight="1" x14ac:dyDescent="0.25">
      <c r="A27" s="1"/>
      <c r="B27" s="41" t="s">
        <v>68</v>
      </c>
      <c r="C27" s="51">
        <f>C26*22%</f>
        <v>705.42648516428085</v>
      </c>
      <c r="F27" s="41" t="s">
        <v>68</v>
      </c>
      <c r="G27" s="51">
        <f>G26*22%</f>
        <v>936.7583427911029</v>
      </c>
      <c r="I27" s="1"/>
    </row>
    <row r="28" spans="1:13" ht="12.75" customHeight="1" x14ac:dyDescent="0.25">
      <c r="A28" s="1"/>
      <c r="B28" s="72" t="s">
        <v>69</v>
      </c>
      <c r="C28" s="51">
        <f>C25-C26+C27</f>
        <v>4277.1424616902768</v>
      </c>
      <c r="F28" s="72" t="s">
        <v>69</v>
      </c>
      <c r="G28" s="51">
        <f>G25-G26+G27</f>
        <v>8129.1658755588169</v>
      </c>
      <c r="I28" s="1"/>
    </row>
    <row r="29" spans="1:13" ht="12.75" customHeight="1" x14ac:dyDescent="0.25">
      <c r="A29" s="1"/>
      <c r="B29" s="131" t="s">
        <v>70</v>
      </c>
      <c r="C29" s="71">
        <f>C28*12</f>
        <v>51325.709540283322</v>
      </c>
      <c r="F29" s="131" t="s">
        <v>70</v>
      </c>
      <c r="G29" s="71">
        <f>G28*12</f>
        <v>97549.990506705799</v>
      </c>
      <c r="I29" s="1"/>
    </row>
    <row r="30" spans="1:13" ht="12.75" customHeight="1" x14ac:dyDescent="0.25">
      <c r="A30" s="1"/>
      <c r="B30" s="60" t="s">
        <v>71</v>
      </c>
      <c r="C30" s="132">
        <f>C29/C15</f>
        <v>5.0319323078709143E-2</v>
      </c>
      <c r="F30" s="60" t="s">
        <v>71</v>
      </c>
      <c r="G30" s="132">
        <f>G29/G15</f>
        <v>7.1727934196107207E-2</v>
      </c>
      <c r="I30" s="1"/>
    </row>
    <row r="31" spans="1:13" ht="12.75" customHeight="1" x14ac:dyDescent="0.2">
      <c r="A31" s="1"/>
      <c r="I31" s="1"/>
    </row>
    <row r="32" spans="1:13" ht="12.75" customHeight="1" x14ac:dyDescent="0.25">
      <c r="A32" s="1"/>
      <c r="B32" s="133" t="s">
        <v>43</v>
      </c>
      <c r="C32" s="134" t="s">
        <v>84</v>
      </c>
      <c r="F32" s="133" t="s">
        <v>43</v>
      </c>
      <c r="G32" s="134" t="s">
        <v>84</v>
      </c>
      <c r="I32" s="1"/>
    </row>
    <row r="33" spans="1:9" ht="12.75" customHeight="1" x14ac:dyDescent="0.25">
      <c r="A33" s="1"/>
      <c r="B33" s="46" t="s">
        <v>22</v>
      </c>
      <c r="C33" s="51">
        <f t="shared" ref="C33:C35" si="0">C17</f>
        <v>12000</v>
      </c>
      <c r="F33" s="46" t="s">
        <v>22</v>
      </c>
      <c r="G33" s="51">
        <f t="shared" ref="G33:G35" si="1">G17</f>
        <v>19000</v>
      </c>
      <c r="I33" s="1"/>
    </row>
    <row r="34" spans="1:9" ht="12.75" customHeight="1" x14ac:dyDescent="0.25">
      <c r="A34" s="1"/>
      <c r="B34" s="46" t="s">
        <v>47</v>
      </c>
      <c r="C34" s="51">
        <f t="shared" si="0"/>
        <v>1650</v>
      </c>
      <c r="F34" s="46" t="s">
        <v>47</v>
      </c>
      <c r="G34" s="51">
        <f t="shared" si="1"/>
        <v>2000</v>
      </c>
      <c r="I34" s="1"/>
    </row>
    <row r="35" spans="1:9" ht="12.75" customHeight="1" x14ac:dyDescent="0.25">
      <c r="A35" s="1"/>
      <c r="B35" s="46" t="s">
        <v>49</v>
      </c>
      <c r="C35" s="51">
        <f t="shared" si="0"/>
        <v>700</v>
      </c>
      <c r="F35" s="46" t="s">
        <v>49</v>
      </c>
      <c r="G35" s="51">
        <f t="shared" si="1"/>
        <v>800</v>
      </c>
      <c r="I35" s="1"/>
    </row>
    <row r="36" spans="1:9" ht="12.75" customHeight="1" x14ac:dyDescent="0.25">
      <c r="A36" s="1"/>
      <c r="B36" s="46" t="s">
        <v>52</v>
      </c>
      <c r="C36" s="51">
        <f t="shared" ref="C36:C37" si="2">C21</f>
        <v>600</v>
      </c>
      <c r="F36" s="46" t="s">
        <v>52</v>
      </c>
      <c r="G36" s="51">
        <f t="shared" ref="G36:G37" si="3">G21</f>
        <v>950</v>
      </c>
      <c r="I36" s="1"/>
    </row>
    <row r="37" spans="1:9" ht="12.75" customHeight="1" x14ac:dyDescent="0.25">
      <c r="A37" s="1"/>
      <c r="B37" s="46" t="s">
        <v>55</v>
      </c>
      <c r="C37" s="51">
        <f t="shared" si="2"/>
        <v>0</v>
      </c>
      <c r="F37" s="46" t="s">
        <v>55</v>
      </c>
      <c r="G37" s="51">
        <f t="shared" si="3"/>
        <v>0</v>
      </c>
      <c r="I37" s="1"/>
    </row>
    <row r="38" spans="1:9" ht="12.75" customHeight="1" x14ac:dyDescent="0.25">
      <c r="A38" s="1"/>
      <c r="B38" s="46" t="s">
        <v>159</v>
      </c>
      <c r="C38" s="51">
        <f>C24</f>
        <v>1911.8</v>
      </c>
      <c r="F38" s="46" t="s">
        <v>159</v>
      </c>
      <c r="G38" s="51">
        <f>G24</f>
        <v>3229.6</v>
      </c>
      <c r="I38" s="1"/>
    </row>
    <row r="39" spans="1:9" ht="12.75" customHeight="1" x14ac:dyDescent="0.25">
      <c r="A39" s="1"/>
      <c r="B39" s="46" t="s">
        <v>60</v>
      </c>
      <c r="C39" s="51">
        <f>C20</f>
        <v>360</v>
      </c>
      <c r="F39" s="46" t="s">
        <v>60</v>
      </c>
      <c r="G39" s="51">
        <f>G20</f>
        <v>570</v>
      </c>
      <c r="I39" s="1"/>
    </row>
    <row r="40" spans="1:9" ht="12.75" customHeight="1" x14ac:dyDescent="0.25">
      <c r="A40" s="1"/>
      <c r="B40" s="46" t="s">
        <v>160</v>
      </c>
      <c r="C40" s="51">
        <f>'Lån A'!M4/12</f>
        <v>3206.4840234740041</v>
      </c>
      <c r="F40" s="46" t="s">
        <v>160</v>
      </c>
      <c r="G40" s="51">
        <f>'Lån B'!M4/12</f>
        <v>4257.9924672322859</v>
      </c>
      <c r="I40" s="1"/>
    </row>
    <row r="41" spans="1:9" ht="12.75" customHeight="1" x14ac:dyDescent="0.25">
      <c r="A41" s="1"/>
      <c r="B41" s="46" t="s">
        <v>161</v>
      </c>
      <c r="C41" s="51">
        <f>'Lån A'!N4/12</f>
        <v>2892.6193769760648</v>
      </c>
      <c r="E41" s="135"/>
      <c r="F41" s="46" t="s">
        <v>161</v>
      </c>
      <c r="G41" s="51">
        <f>'Lån B'!N4/12</f>
        <v>3856.2275171882152</v>
      </c>
      <c r="H41" s="15"/>
      <c r="I41" s="1"/>
    </row>
    <row r="42" spans="1:9" ht="12.75" customHeight="1" x14ac:dyDescent="0.25">
      <c r="A42" s="1"/>
      <c r="B42" s="60" t="s">
        <v>43</v>
      </c>
      <c r="C42" s="61">
        <f>C33-C34-C35-C36-C37-C38-C39-C40-C41</f>
        <v>679.09659954993094</v>
      </c>
      <c r="E42" s="135"/>
      <c r="F42" s="60" t="s">
        <v>43</v>
      </c>
      <c r="G42" s="61">
        <f>G33-G34-G35-G36-G37-G38-G39-G40-G41</f>
        <v>3336.1800155794986</v>
      </c>
      <c r="I42" s="1"/>
    </row>
    <row r="43" spans="1:9" ht="12.75" customHeight="1" x14ac:dyDescent="0.25">
      <c r="A43" s="1"/>
      <c r="B43" s="62"/>
      <c r="C43" s="62"/>
      <c r="E43" s="135"/>
      <c r="F43" s="62"/>
      <c r="G43" s="62"/>
      <c r="I43" s="1"/>
    </row>
    <row r="44" spans="1:9" ht="12.75" customHeight="1" x14ac:dyDescent="0.2">
      <c r="A44" s="1"/>
      <c r="B44" s="179" t="s">
        <v>162</v>
      </c>
      <c r="C44" s="180"/>
      <c r="D44" s="180"/>
      <c r="E44" s="180"/>
      <c r="F44" s="180"/>
      <c r="G44" s="180"/>
      <c r="H44" s="180"/>
      <c r="I44" s="1"/>
    </row>
    <row r="45" spans="1:9" ht="12.75" customHeight="1" x14ac:dyDescent="0.2">
      <c r="A45" s="1"/>
      <c r="H45" s="4"/>
      <c r="I45" s="1"/>
    </row>
    <row r="46" spans="1:9" ht="12.75" customHeight="1" x14ac:dyDescent="0.2">
      <c r="A46" s="1"/>
      <c r="B46" s="136" t="s">
        <v>46</v>
      </c>
      <c r="C46" s="137">
        <f>C17*12</f>
        <v>144000</v>
      </c>
      <c r="F46" s="136" t="s">
        <v>46</v>
      </c>
      <c r="G46" s="137">
        <f>G17*12</f>
        <v>228000</v>
      </c>
      <c r="H46" s="15"/>
      <c r="I46" s="1"/>
    </row>
    <row r="47" spans="1:9" ht="12.75" customHeight="1" x14ac:dyDescent="0.2">
      <c r="A47" s="1"/>
      <c r="B47" s="136" t="s">
        <v>48</v>
      </c>
      <c r="C47" s="137">
        <f>(C18*12)+(C19*12)+(C20*12)+(C21*12)+(C22*12)</f>
        <v>39720</v>
      </c>
      <c r="F47" s="136" t="s">
        <v>48</v>
      </c>
      <c r="G47" s="137">
        <f>(G18*12)+(G19*12)+(G20*12)+(G21*12)+(G22*12)</f>
        <v>51840</v>
      </c>
      <c r="H47" s="15"/>
      <c r="I47" s="1"/>
    </row>
    <row r="48" spans="1:9" ht="12.75" customHeight="1" x14ac:dyDescent="0.2">
      <c r="A48" s="1"/>
      <c r="B48" s="136" t="s">
        <v>50</v>
      </c>
      <c r="C48" s="137">
        <f>C46-C47</f>
        <v>104280</v>
      </c>
      <c r="F48" s="136" t="s">
        <v>50</v>
      </c>
      <c r="G48" s="137">
        <f>G46-G47</f>
        <v>176160</v>
      </c>
      <c r="H48" s="4"/>
      <c r="I48" s="1"/>
    </row>
    <row r="49" spans="1:9" ht="12.75" customHeight="1" x14ac:dyDescent="0.2">
      <c r="A49" s="1"/>
      <c r="B49" s="138"/>
      <c r="C49" s="139"/>
      <c r="F49" s="138"/>
      <c r="G49" s="139"/>
      <c r="H49" s="15"/>
      <c r="I49" s="1"/>
    </row>
    <row r="50" spans="1:9" ht="12.75" customHeight="1" x14ac:dyDescent="0.2">
      <c r="A50" s="1"/>
      <c r="B50" s="140" t="s">
        <v>56</v>
      </c>
      <c r="C50" s="141">
        <f>C48/C12</f>
        <v>4.0894117647058824E-2</v>
      </c>
      <c r="F50" s="140" t="s">
        <v>56</v>
      </c>
      <c r="G50" s="141">
        <f>G48/G12</f>
        <v>5.1811764705882356E-2</v>
      </c>
      <c r="H50" s="15"/>
      <c r="I50" s="1"/>
    </row>
    <row r="51" spans="1:9" ht="12.75" customHeight="1" x14ac:dyDescent="0.2">
      <c r="A51" s="1"/>
      <c r="H51" s="59"/>
      <c r="I51" s="1"/>
    </row>
    <row r="52" spans="1:9" ht="12.75" customHeight="1" x14ac:dyDescent="0.2">
      <c r="A52" s="1"/>
      <c r="H52" s="4"/>
      <c r="I52" s="1"/>
    </row>
    <row r="53" spans="1:9" ht="12.75" customHeight="1" x14ac:dyDescent="0.25">
      <c r="A53" s="1"/>
      <c r="B53" s="62" t="s">
        <v>163</v>
      </c>
      <c r="F53" s="62" t="s">
        <v>163</v>
      </c>
      <c r="H53" s="15"/>
      <c r="I53" s="1"/>
    </row>
    <row r="54" spans="1:9" ht="12.75" customHeight="1" x14ac:dyDescent="0.25">
      <c r="A54" s="1"/>
      <c r="B54" s="142">
        <f>(C17*12)/7.5%</f>
        <v>1920000</v>
      </c>
      <c r="F54" s="142">
        <f>(G17*12)/7.5%</f>
        <v>3040000</v>
      </c>
      <c r="H54" s="15"/>
      <c r="I54" s="1"/>
    </row>
    <row r="55" spans="1:9" ht="12.75" customHeight="1" x14ac:dyDescent="0.2">
      <c r="A55" s="1"/>
      <c r="G55" s="19"/>
      <c r="H55" s="4"/>
      <c r="I55" s="1"/>
    </row>
    <row r="56" spans="1:9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</row>
    <row r="57" spans="1:9" ht="12.75" customHeight="1" x14ac:dyDescent="0.2">
      <c r="G57" s="19"/>
      <c r="H57" s="4"/>
      <c r="I57" s="19"/>
    </row>
    <row r="58" spans="1:9" ht="12.75" customHeight="1" x14ac:dyDescent="0.2">
      <c r="B58" s="5" t="s">
        <v>164</v>
      </c>
      <c r="G58" s="75"/>
      <c r="H58" s="15"/>
      <c r="I58" s="75"/>
    </row>
    <row r="59" spans="1:9" ht="12.75" customHeight="1" x14ac:dyDescent="0.2">
      <c r="F59" s="4"/>
      <c r="G59" s="75"/>
      <c r="H59" s="4"/>
      <c r="I59" s="75"/>
    </row>
    <row r="60" spans="1:9" ht="12.75" customHeight="1" x14ac:dyDescent="0.2">
      <c r="F60" s="4"/>
      <c r="G60" s="19"/>
      <c r="I60" s="19"/>
    </row>
    <row r="61" spans="1:9" ht="12.75" customHeight="1" x14ac:dyDescent="0.2">
      <c r="G61" s="75"/>
      <c r="H61" s="4"/>
      <c r="I61" s="75"/>
    </row>
    <row r="62" spans="1:9" ht="12.75" customHeight="1" x14ac:dyDescent="0.2">
      <c r="F62" s="4"/>
      <c r="G62" s="75"/>
      <c r="H62" s="4"/>
      <c r="I62" s="75"/>
    </row>
    <row r="63" spans="1:9" ht="12.75" customHeight="1" x14ac:dyDescent="0.2">
      <c r="G63" s="19"/>
      <c r="I63" s="19"/>
    </row>
    <row r="64" spans="1:9" ht="12.75" customHeight="1" x14ac:dyDescent="0.2">
      <c r="F64" s="4"/>
      <c r="G64" s="75"/>
      <c r="H64" s="4"/>
      <c r="I64" s="75"/>
    </row>
    <row r="65" spans="7:9" ht="12.75" customHeight="1" x14ac:dyDescent="0.2">
      <c r="G65" s="19"/>
      <c r="H65" s="19"/>
      <c r="I65" s="19"/>
    </row>
    <row r="66" spans="7:9" ht="12.75" customHeight="1" x14ac:dyDescent="0.2">
      <c r="G66" s="19"/>
      <c r="I66" s="19"/>
    </row>
    <row r="67" spans="7:9" ht="12.75" customHeight="1" x14ac:dyDescent="0.2">
      <c r="G67" s="75"/>
      <c r="H67" s="4"/>
    </row>
    <row r="68" spans="7:9" ht="12.75" customHeight="1" x14ac:dyDescent="0.2">
      <c r="G68" s="19"/>
      <c r="I68" s="19"/>
    </row>
    <row r="69" spans="7:9" ht="12.75" customHeight="1" x14ac:dyDescent="0.2">
      <c r="G69" s="75"/>
      <c r="H69" s="4"/>
    </row>
    <row r="70" spans="7:9" ht="12.75" customHeight="1" x14ac:dyDescent="0.2">
      <c r="G70" s="19"/>
    </row>
    <row r="71" spans="7:9" ht="12.75" customHeight="1" x14ac:dyDescent="0.2"/>
    <row r="72" spans="7:9" ht="12.75" customHeight="1" x14ac:dyDescent="0.2"/>
    <row r="73" spans="7:9" ht="12.75" customHeight="1" x14ac:dyDescent="0.2"/>
    <row r="74" spans="7:9" ht="12.75" customHeight="1" x14ac:dyDescent="0.2"/>
    <row r="75" spans="7:9" ht="12.75" customHeight="1" x14ac:dyDescent="0.2"/>
    <row r="76" spans="7:9" ht="12.75" customHeight="1" x14ac:dyDescent="0.2"/>
    <row r="77" spans="7:9" ht="12.75" customHeight="1" x14ac:dyDescent="0.2"/>
    <row r="78" spans="7:9" ht="12.75" customHeight="1" x14ac:dyDescent="0.2"/>
    <row r="79" spans="7:9" ht="12.75" customHeight="1" x14ac:dyDescent="0.2"/>
    <row r="80" spans="7:9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4">
    <mergeCell ref="B2:H2"/>
    <mergeCell ref="B4:C4"/>
    <mergeCell ref="F4:G4"/>
    <mergeCell ref="B44:H44"/>
  </mergeCells>
  <pageMargins left="0.74791666666666667" right="0.74791666666666667" top="0.98402777777777772" bottom="0.98402777777777772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2.5703125" defaultRowHeight="15" customHeight="1" x14ac:dyDescent="0.2"/>
  <cols>
    <col min="1" max="1" width="2.42578125" customWidth="1"/>
    <col min="2" max="2" width="5.140625" customWidth="1"/>
    <col min="3" max="3" width="17.5703125" customWidth="1"/>
    <col min="4" max="4" width="29.42578125" customWidth="1"/>
    <col min="5" max="5" width="14.85546875" customWidth="1"/>
    <col min="6" max="6" width="8.140625" customWidth="1"/>
    <col min="7" max="7" width="2.85546875" customWidth="1"/>
    <col min="8" max="26" width="9.140625" customWidth="1"/>
  </cols>
  <sheetData>
    <row r="1" spans="1:26" ht="12.75" customHeight="1" x14ac:dyDescent="0.2">
      <c r="A1" s="179"/>
      <c r="B1" s="180"/>
      <c r="C1" s="180"/>
      <c r="D1" s="180"/>
      <c r="E1" s="180"/>
      <c r="F1" s="180"/>
      <c r="G1" s="143"/>
    </row>
    <row r="2" spans="1:26" ht="20.25" x14ac:dyDescent="0.3">
      <c r="A2" s="143"/>
      <c r="B2" s="173" t="s">
        <v>165</v>
      </c>
      <c r="C2" s="171"/>
      <c r="D2" s="171"/>
      <c r="E2" s="171"/>
      <c r="F2" s="172"/>
      <c r="G2" s="143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2.75" customHeight="1" x14ac:dyDescent="0.2">
      <c r="A3" s="143"/>
      <c r="B3" s="143"/>
      <c r="C3" s="143"/>
      <c r="D3" s="143"/>
      <c r="E3" s="143"/>
      <c r="F3" s="143"/>
      <c r="G3" s="143"/>
    </row>
    <row r="4" spans="1:26" ht="12.75" customHeight="1" x14ac:dyDescent="0.2">
      <c r="A4" s="143"/>
      <c r="G4" s="143"/>
    </row>
    <row r="5" spans="1:26" ht="12.75" customHeight="1" x14ac:dyDescent="0.25">
      <c r="A5" s="143"/>
      <c r="C5" s="144"/>
      <c r="D5" s="145" t="s">
        <v>53</v>
      </c>
      <c r="E5" s="146">
        <v>2000000</v>
      </c>
      <c r="G5" s="143"/>
    </row>
    <row r="6" spans="1:26" ht="12.75" customHeight="1" x14ac:dyDescent="0.25">
      <c r="A6" s="143"/>
      <c r="C6" s="147"/>
      <c r="D6" s="148" t="s">
        <v>166</v>
      </c>
      <c r="E6" s="50">
        <f>SUM(E9:E15)</f>
        <v>58842</v>
      </c>
      <c r="G6" s="143"/>
    </row>
    <row r="7" spans="1:26" ht="12.75" customHeight="1" x14ac:dyDescent="0.2">
      <c r="A7" s="143"/>
      <c r="C7" s="147"/>
      <c r="D7" s="149"/>
      <c r="E7" s="150"/>
      <c r="G7" s="143"/>
    </row>
    <row r="8" spans="1:26" ht="12.75" customHeight="1" x14ac:dyDescent="0.25">
      <c r="A8" s="143"/>
      <c r="C8" s="147"/>
      <c r="D8" s="148" t="s">
        <v>167</v>
      </c>
      <c r="E8" s="150"/>
      <c r="G8" s="143"/>
    </row>
    <row r="9" spans="1:26" ht="12.75" customHeight="1" x14ac:dyDescent="0.25">
      <c r="A9" s="143"/>
      <c r="C9" s="147"/>
      <c r="D9" s="148" t="s">
        <v>168</v>
      </c>
      <c r="E9" s="151">
        <f>E5*0.025</f>
        <v>50000</v>
      </c>
      <c r="G9" s="143"/>
    </row>
    <row r="10" spans="1:26" ht="12.75" customHeight="1" x14ac:dyDescent="0.25">
      <c r="A10" s="143"/>
      <c r="C10" s="147"/>
      <c r="D10" s="148" t="s">
        <v>169</v>
      </c>
      <c r="E10" s="152">
        <v>7500</v>
      </c>
      <c r="G10" s="143"/>
    </row>
    <row r="11" spans="1:26" ht="12.75" customHeight="1" x14ac:dyDescent="0.25">
      <c r="A11" s="143"/>
      <c r="C11" s="147"/>
      <c r="D11" s="148" t="s">
        <v>170</v>
      </c>
      <c r="E11" s="152"/>
      <c r="G11" s="143"/>
    </row>
    <row r="12" spans="1:26" ht="12.75" customHeight="1" x14ac:dyDescent="0.25">
      <c r="A12" s="143"/>
      <c r="C12" s="147"/>
      <c r="D12" s="148" t="s">
        <v>171</v>
      </c>
      <c r="E12" s="152"/>
      <c r="G12" s="143"/>
    </row>
    <row r="13" spans="1:26" ht="12.75" customHeight="1" x14ac:dyDescent="0.25">
      <c r="A13" s="143"/>
      <c r="C13" s="147"/>
      <c r="D13" s="148" t="s">
        <v>172</v>
      </c>
      <c r="E13" s="152">
        <v>585</v>
      </c>
      <c r="G13" s="143"/>
    </row>
    <row r="14" spans="1:26" ht="12.75" customHeight="1" x14ac:dyDescent="0.25">
      <c r="A14" s="143"/>
      <c r="C14" s="147"/>
      <c r="D14" s="148" t="s">
        <v>173</v>
      </c>
      <c r="E14" s="152">
        <v>585</v>
      </c>
      <c r="G14" s="143"/>
    </row>
    <row r="15" spans="1:26" ht="12.75" customHeight="1" x14ac:dyDescent="0.25">
      <c r="A15" s="143"/>
      <c r="C15" s="147"/>
      <c r="D15" s="148" t="s">
        <v>174</v>
      </c>
      <c r="E15" s="152">
        <v>172</v>
      </c>
      <c r="G15" s="143"/>
    </row>
    <row r="16" spans="1:26" ht="12.75" customHeight="1" x14ac:dyDescent="0.2">
      <c r="A16" s="143"/>
      <c r="C16" s="147"/>
      <c r="D16" s="149"/>
      <c r="E16" s="150"/>
      <c r="G16" s="143"/>
    </row>
    <row r="17" spans="1:7" ht="12.75" customHeight="1" x14ac:dyDescent="0.25">
      <c r="A17" s="143"/>
      <c r="C17" s="153" t="s">
        <v>175</v>
      </c>
      <c r="D17" s="154"/>
      <c r="E17" s="155">
        <f>E5+E6</f>
        <v>2058842</v>
      </c>
      <c r="G17" s="143"/>
    </row>
    <row r="18" spans="1:7" ht="12.75" customHeight="1" x14ac:dyDescent="0.2">
      <c r="A18" s="143"/>
      <c r="G18" s="143"/>
    </row>
    <row r="19" spans="1:7" ht="12.75" customHeight="1" x14ac:dyDescent="0.25">
      <c r="A19" s="143"/>
      <c r="C19" s="144"/>
      <c r="D19" s="156" t="s">
        <v>176</v>
      </c>
      <c r="E19" s="146">
        <v>2500000</v>
      </c>
      <c r="G19" s="143"/>
    </row>
    <row r="20" spans="1:7" ht="12.75" customHeight="1" x14ac:dyDescent="0.25">
      <c r="A20" s="143"/>
      <c r="C20" s="147"/>
      <c r="D20" s="148" t="s">
        <v>177</v>
      </c>
      <c r="E20" s="50">
        <f>SUM(E23:E28)</f>
        <v>180000</v>
      </c>
      <c r="G20" s="143"/>
    </row>
    <row r="21" spans="1:7" ht="12.75" customHeight="1" x14ac:dyDescent="0.2">
      <c r="A21" s="143"/>
      <c r="C21" s="147"/>
      <c r="D21" s="149"/>
      <c r="E21" s="150"/>
      <c r="G21" s="143"/>
    </row>
    <row r="22" spans="1:7" ht="12.75" customHeight="1" x14ac:dyDescent="0.25">
      <c r="A22" s="143"/>
      <c r="C22" s="147"/>
      <c r="D22" s="148" t="s">
        <v>167</v>
      </c>
      <c r="E22" s="150"/>
      <c r="G22" s="143"/>
    </row>
    <row r="23" spans="1:7" ht="12.75" customHeight="1" x14ac:dyDescent="0.25">
      <c r="A23" s="143"/>
      <c r="C23" s="147"/>
      <c r="D23" s="148" t="s">
        <v>178</v>
      </c>
      <c r="E23" s="152">
        <v>75000</v>
      </c>
      <c r="G23" s="143"/>
    </row>
    <row r="24" spans="1:7" ht="12.75" customHeight="1" x14ac:dyDescent="0.25">
      <c r="A24" s="143"/>
      <c r="C24" s="147"/>
      <c r="D24" s="148" t="s">
        <v>179</v>
      </c>
      <c r="E24" s="152">
        <v>10000</v>
      </c>
      <c r="G24" s="143"/>
    </row>
    <row r="25" spans="1:7" ht="12.75" customHeight="1" x14ac:dyDescent="0.25">
      <c r="A25" s="143"/>
      <c r="C25" s="147"/>
      <c r="D25" s="148" t="s">
        <v>180</v>
      </c>
      <c r="E25" s="152">
        <v>15000</v>
      </c>
      <c r="G25" s="143"/>
    </row>
    <row r="26" spans="1:7" ht="12.75" customHeight="1" x14ac:dyDescent="0.25">
      <c r="A26" s="143"/>
      <c r="C26" s="147"/>
      <c r="D26" s="148" t="s">
        <v>181</v>
      </c>
      <c r="E26" s="152">
        <v>5000</v>
      </c>
      <c r="G26" s="143"/>
    </row>
    <row r="27" spans="1:7" ht="12.75" customHeight="1" x14ac:dyDescent="0.25">
      <c r="A27" s="143"/>
      <c r="C27" s="147"/>
      <c r="D27" s="148" t="s">
        <v>182</v>
      </c>
      <c r="E27" s="152"/>
      <c r="G27" s="143"/>
    </row>
    <row r="28" spans="1:7" ht="12.75" customHeight="1" x14ac:dyDescent="0.25">
      <c r="A28" s="143"/>
      <c r="C28" s="147"/>
      <c r="D28" s="148" t="s">
        <v>183</v>
      </c>
      <c r="E28" s="157">
        <v>75000</v>
      </c>
      <c r="G28" s="143"/>
    </row>
    <row r="29" spans="1:7" ht="12.75" customHeight="1" x14ac:dyDescent="0.2">
      <c r="A29" s="143"/>
      <c r="C29" s="147"/>
      <c r="D29" s="149"/>
      <c r="E29" s="150"/>
      <c r="G29" s="143"/>
    </row>
    <row r="30" spans="1:7" ht="12.75" customHeight="1" x14ac:dyDescent="0.25">
      <c r="A30" s="143"/>
      <c r="C30" s="153" t="s">
        <v>184</v>
      </c>
      <c r="D30" s="154"/>
      <c r="E30" s="155">
        <f>E19-E20</f>
        <v>2320000</v>
      </c>
      <c r="G30" s="143"/>
    </row>
    <row r="31" spans="1:7" ht="12.75" customHeight="1" x14ac:dyDescent="0.2">
      <c r="A31" s="143"/>
      <c r="E31" s="19"/>
      <c r="G31" s="143"/>
    </row>
    <row r="32" spans="1:7" ht="12.75" customHeight="1" x14ac:dyDescent="0.2">
      <c r="A32" s="143"/>
      <c r="C32" s="158" t="s">
        <v>185</v>
      </c>
      <c r="D32" s="159"/>
      <c r="E32" s="160"/>
      <c r="G32" s="143"/>
    </row>
    <row r="33" spans="1:7" ht="12.75" customHeight="1" x14ac:dyDescent="0.25">
      <c r="A33" s="143"/>
      <c r="C33" s="147"/>
      <c r="D33" s="148" t="s">
        <v>186</v>
      </c>
      <c r="E33" s="50">
        <f>E30</f>
        <v>2320000</v>
      </c>
      <c r="G33" s="143"/>
    </row>
    <row r="34" spans="1:7" ht="12.75" customHeight="1" x14ac:dyDescent="0.25">
      <c r="A34" s="143"/>
      <c r="C34" s="161" t="s">
        <v>187</v>
      </c>
      <c r="D34" s="148" t="s">
        <v>175</v>
      </c>
      <c r="E34" s="50">
        <f>E17</f>
        <v>2058842</v>
      </c>
      <c r="G34" s="143"/>
    </row>
    <row r="35" spans="1:7" ht="12.75" customHeight="1" x14ac:dyDescent="0.25">
      <c r="A35" s="143"/>
      <c r="C35" s="162" t="s">
        <v>188</v>
      </c>
      <c r="D35" s="163" t="s">
        <v>189</v>
      </c>
      <c r="E35" s="50">
        <f>E33-E34</f>
        <v>261158</v>
      </c>
      <c r="G35" s="143"/>
    </row>
    <row r="36" spans="1:7" ht="12.75" customHeight="1" x14ac:dyDescent="0.2">
      <c r="A36" s="143"/>
      <c r="C36" s="147"/>
      <c r="D36" s="149"/>
      <c r="E36" s="150"/>
      <c r="G36" s="143"/>
    </row>
    <row r="37" spans="1:7" ht="12.75" customHeight="1" x14ac:dyDescent="0.25">
      <c r="A37" s="143"/>
      <c r="C37" s="164"/>
      <c r="D37" s="165" t="s">
        <v>152</v>
      </c>
      <c r="E37" s="155">
        <f>E35*0.22</f>
        <v>57454.76</v>
      </c>
      <c r="G37" s="143"/>
    </row>
    <row r="38" spans="1:7" ht="12.75" customHeight="1" x14ac:dyDescent="0.2">
      <c r="A38" s="143"/>
      <c r="E38" s="19"/>
      <c r="G38" s="143"/>
    </row>
    <row r="39" spans="1:7" ht="12.75" customHeight="1" x14ac:dyDescent="0.2">
      <c r="A39" s="143"/>
      <c r="B39" s="143"/>
      <c r="C39" s="143"/>
      <c r="D39" s="143"/>
      <c r="E39" s="143"/>
      <c r="F39" s="143"/>
      <c r="G39" s="143"/>
    </row>
    <row r="40" spans="1:7" ht="12.75" customHeight="1" x14ac:dyDescent="0.2">
      <c r="A40" s="149"/>
      <c r="B40" s="149"/>
      <c r="C40" s="149"/>
      <c r="D40" s="149"/>
      <c r="E40" s="149"/>
      <c r="F40" s="149"/>
      <c r="G40" s="149"/>
    </row>
    <row r="41" spans="1:7" ht="12.75" customHeight="1" x14ac:dyDescent="0.2">
      <c r="A41" s="149"/>
      <c r="B41" s="149"/>
      <c r="C41" s="149"/>
      <c r="D41" s="149"/>
      <c r="E41" s="149"/>
      <c r="F41" s="149"/>
      <c r="G41" s="149"/>
    </row>
    <row r="42" spans="1:7" ht="12.75" customHeight="1" x14ac:dyDescent="0.2">
      <c r="A42" s="149"/>
      <c r="B42" s="149"/>
      <c r="C42" s="149" t="s">
        <v>190</v>
      </c>
      <c r="D42" s="149"/>
      <c r="E42" s="149"/>
      <c r="F42" s="149"/>
      <c r="G42" s="149"/>
    </row>
    <row r="43" spans="1:7" ht="12.75" customHeight="1" x14ac:dyDescent="0.2">
      <c r="A43" s="149"/>
      <c r="B43" s="149"/>
      <c r="C43" s="149" t="s">
        <v>191</v>
      </c>
      <c r="D43" s="149"/>
      <c r="E43" s="149"/>
      <c r="F43" s="149"/>
      <c r="G43" s="149"/>
    </row>
    <row r="44" spans="1:7" ht="12.75" customHeight="1" x14ac:dyDescent="0.2">
      <c r="A44" s="149"/>
      <c r="B44" s="149"/>
      <c r="C44" s="149" t="s">
        <v>192</v>
      </c>
      <c r="D44" s="149"/>
      <c r="E44" s="149"/>
      <c r="F44" s="149"/>
      <c r="G44" s="149"/>
    </row>
    <row r="45" spans="1:7" ht="12.75" customHeight="1" x14ac:dyDescent="0.2">
      <c r="A45" s="149"/>
      <c r="B45" s="149"/>
      <c r="C45" s="149"/>
      <c r="D45" s="149"/>
      <c r="E45" s="149"/>
      <c r="F45" s="149"/>
      <c r="G45" s="149"/>
    </row>
    <row r="46" spans="1:7" ht="12.75" customHeight="1" x14ac:dyDescent="0.2">
      <c r="A46" s="149"/>
      <c r="B46" s="149"/>
      <c r="C46" s="149"/>
      <c r="D46" s="149"/>
      <c r="E46" s="149"/>
      <c r="F46" s="149"/>
      <c r="G46" s="149"/>
    </row>
    <row r="47" spans="1:7" ht="12.75" customHeight="1" x14ac:dyDescent="0.2">
      <c r="A47" s="149"/>
      <c r="B47" s="149"/>
      <c r="C47" s="149"/>
      <c r="D47" s="149"/>
      <c r="E47" s="149"/>
      <c r="F47" s="149"/>
      <c r="G47" s="149"/>
    </row>
    <row r="48" spans="1:7" ht="12.75" customHeight="1" x14ac:dyDescent="0.2">
      <c r="A48" s="149"/>
      <c r="B48" s="149"/>
      <c r="C48" s="149"/>
      <c r="D48" s="149"/>
      <c r="E48" s="149"/>
      <c r="F48" s="149"/>
      <c r="G48" s="149"/>
    </row>
    <row r="49" spans="1:7" ht="12.75" customHeight="1" x14ac:dyDescent="0.2">
      <c r="A49" s="149"/>
      <c r="B49" s="149"/>
      <c r="C49" s="149"/>
      <c r="D49" s="149"/>
      <c r="E49" s="149"/>
      <c r="F49" s="149"/>
      <c r="G49" s="149"/>
    </row>
    <row r="50" spans="1:7" ht="12.75" customHeight="1" x14ac:dyDescent="0.2">
      <c r="A50" s="149"/>
      <c r="B50" s="149"/>
      <c r="C50" s="149"/>
      <c r="D50" s="149"/>
      <c r="E50" s="149"/>
      <c r="F50" s="149"/>
      <c r="G50" s="149"/>
    </row>
    <row r="51" spans="1:7" ht="12.75" customHeight="1" x14ac:dyDescent="0.2">
      <c r="A51" s="149"/>
      <c r="B51" s="149"/>
      <c r="C51" s="149"/>
      <c r="D51" s="149"/>
      <c r="E51" s="149"/>
      <c r="F51" s="149"/>
      <c r="G51" s="149"/>
    </row>
    <row r="52" spans="1:7" ht="12.75" customHeight="1" x14ac:dyDescent="0.2">
      <c r="A52" s="149"/>
      <c r="B52" s="149"/>
      <c r="C52" s="149"/>
      <c r="D52" s="149"/>
      <c r="E52" s="149"/>
      <c r="F52" s="149"/>
      <c r="G52" s="149"/>
    </row>
    <row r="53" spans="1:7" ht="12.75" customHeight="1" x14ac:dyDescent="0.2"/>
    <row r="54" spans="1:7" ht="12.75" customHeight="1" x14ac:dyDescent="0.2"/>
    <row r="55" spans="1:7" ht="12.75" customHeight="1" x14ac:dyDescent="0.2"/>
    <row r="56" spans="1:7" ht="12.75" customHeight="1" x14ac:dyDescent="0.2"/>
    <row r="57" spans="1:7" ht="12.75" customHeight="1" x14ac:dyDescent="0.2"/>
    <row r="58" spans="1:7" ht="12.75" customHeight="1" x14ac:dyDescent="0.2"/>
    <row r="59" spans="1:7" ht="12.75" customHeight="1" x14ac:dyDescent="0.2"/>
    <row r="60" spans="1:7" ht="12.75" customHeight="1" x14ac:dyDescent="0.2"/>
    <row r="61" spans="1:7" ht="12.75" customHeight="1" x14ac:dyDescent="0.2"/>
    <row r="62" spans="1:7" ht="12.75" customHeight="1" x14ac:dyDescent="0.2"/>
    <row r="63" spans="1:7" ht="12.75" customHeight="1" x14ac:dyDescent="0.2"/>
    <row r="64" spans="1:7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1:F1"/>
    <mergeCell ref="B2:F2"/>
  </mergeCells>
  <pageMargins left="0.74791666666666667" right="0.74791666666666667" top="0.98402777777777772" bottom="0.98402777777777772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baseColWidth="10" defaultColWidth="12.5703125" defaultRowHeight="15" customHeight="1" x14ac:dyDescent="0.2"/>
  <cols>
    <col min="1" max="1" width="2.5703125" customWidth="1"/>
    <col min="2" max="2" width="28.5703125" customWidth="1"/>
    <col min="3" max="3" width="13" customWidth="1"/>
    <col min="4" max="4" width="16.5703125" customWidth="1"/>
    <col min="5" max="5" width="2.85546875" customWidth="1"/>
    <col min="6" max="6" width="10.85546875" customWidth="1"/>
    <col min="7" max="7" width="12.42578125" customWidth="1"/>
    <col min="8" max="8" width="11.42578125" customWidth="1"/>
    <col min="9" max="10" width="10.85546875" customWidth="1"/>
    <col min="11" max="11" width="14.85546875" customWidth="1"/>
    <col min="12" max="14" width="10.85546875" customWidth="1"/>
    <col min="15" max="26" width="10.5703125" customWidth="1"/>
  </cols>
  <sheetData>
    <row r="1" spans="1:26" ht="36" customHeight="1" x14ac:dyDescent="0.25">
      <c r="A1" s="62"/>
      <c r="B1" s="62"/>
      <c r="C1" s="76"/>
      <c r="D1" s="77"/>
      <c r="E1" s="62"/>
      <c r="F1" s="62"/>
      <c r="G1" s="76"/>
      <c r="H1" s="76"/>
      <c r="I1" s="76"/>
      <c r="J1" s="76"/>
      <c r="K1" s="76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x14ac:dyDescent="0.25">
      <c r="A2" s="62"/>
      <c r="B2" s="176" t="s">
        <v>73</v>
      </c>
      <c r="C2" s="177"/>
      <c r="D2" s="77"/>
      <c r="E2" s="62"/>
      <c r="F2" s="78" t="s">
        <v>74</v>
      </c>
      <c r="G2" s="78" t="s">
        <v>75</v>
      </c>
      <c r="H2" s="78" t="s">
        <v>76</v>
      </c>
      <c r="I2" s="78" t="s">
        <v>77</v>
      </c>
      <c r="J2" s="78" t="s">
        <v>78</v>
      </c>
      <c r="K2" s="78" t="s">
        <v>79</v>
      </c>
      <c r="L2" s="79" t="s">
        <v>80</v>
      </c>
      <c r="M2" s="79" t="s">
        <v>81</v>
      </c>
      <c r="N2" s="79" t="s">
        <v>82</v>
      </c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x14ac:dyDescent="0.25">
      <c r="A3" s="62"/>
      <c r="B3" s="78" t="s">
        <v>8</v>
      </c>
      <c r="C3" s="80">
        <f>'Sammenligning A og B'!C14</f>
        <v>1530000</v>
      </c>
      <c r="D3" s="77"/>
      <c r="E3" s="62"/>
      <c r="F3" s="78">
        <v>0</v>
      </c>
      <c r="G3" s="78"/>
      <c r="H3" s="78"/>
      <c r="I3" s="78"/>
      <c r="J3" s="81">
        <f>C14</f>
        <v>1530950</v>
      </c>
      <c r="K3" s="81"/>
      <c r="L3" s="81"/>
      <c r="M3" s="81"/>
      <c r="N3" s="81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26" x14ac:dyDescent="0.25">
      <c r="A4" s="62"/>
      <c r="B4" s="78" t="s">
        <v>83</v>
      </c>
      <c r="C4" s="82">
        <f>'Sammenligning A og B'!C13</f>
        <v>2.5</v>
      </c>
      <c r="D4" s="77"/>
      <c r="E4" s="62"/>
      <c r="F4" s="83">
        <f t="shared" ref="F4:F258" si="0">IF(F3&lt;&gt;"",IF(J3&gt;1,F3+1,""),"")</f>
        <v>1</v>
      </c>
      <c r="G4" s="84">
        <f t="shared" ref="G4:G258" si="1">IF(F4&lt;&gt;"",IF(J3&gt;$C$15,$C$15,J3+H4),"")</f>
        <v>6099.103400450068</v>
      </c>
      <c r="H4" s="84">
        <f t="shared" ref="H4:H258" si="2">IF(F4&lt;&gt;"",J3*$C$4%/$C$7+$C$8,"")</f>
        <v>3239.4791666666665</v>
      </c>
      <c r="I4" s="84">
        <f t="shared" ref="I4:I258" si="3">IF(F4&lt;&gt;"",IF(F4&gt;$C$6*$C$7,G4-H4,0),"")</f>
        <v>2859.6242337834015</v>
      </c>
      <c r="J4" s="84">
        <f t="shared" ref="J4:J258" si="4">IF(F4&lt;&gt;"",J3-I4-K4,"")</f>
        <v>1528090.3757662165</v>
      </c>
      <c r="K4" s="85"/>
      <c r="L4" s="86" t="s">
        <v>84</v>
      </c>
      <c r="M4" s="87">
        <f t="shared" ref="M4:N4" si="5">SUM(H4:H15)</f>
        <v>38477.808281688049</v>
      </c>
      <c r="N4" s="87">
        <f t="shared" si="5"/>
        <v>34711.432523712778</v>
      </c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26" x14ac:dyDescent="0.25">
      <c r="A5" s="76"/>
      <c r="B5" s="78" t="s">
        <v>85</v>
      </c>
      <c r="C5" s="80">
        <v>30</v>
      </c>
      <c r="D5" s="77"/>
      <c r="E5" s="62"/>
      <c r="F5" s="83">
        <f t="shared" si="0"/>
        <v>2</v>
      </c>
      <c r="G5" s="84">
        <f t="shared" si="1"/>
        <v>6099.103400450068</v>
      </c>
      <c r="H5" s="84">
        <f t="shared" si="2"/>
        <v>3233.5216161796179</v>
      </c>
      <c r="I5" s="84">
        <f t="shared" si="3"/>
        <v>2865.58178427045</v>
      </c>
      <c r="J5" s="84">
        <f t="shared" si="4"/>
        <v>1525224.7939819461</v>
      </c>
      <c r="K5" s="85"/>
      <c r="L5" s="86" t="s">
        <v>86</v>
      </c>
      <c r="M5" s="87">
        <f t="shared" ref="M5:N5" si="6">SUM(H16:H27)</f>
        <v>37600.009713483792</v>
      </c>
      <c r="N5" s="87">
        <f t="shared" si="6"/>
        <v>35589.23109191702</v>
      </c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x14ac:dyDescent="0.25">
      <c r="A6" s="62"/>
      <c r="B6" s="78" t="s">
        <v>41</v>
      </c>
      <c r="C6" s="80">
        <f>'Sammenligning A og B'!E9</f>
        <v>0</v>
      </c>
      <c r="D6" s="77"/>
      <c r="E6" s="62"/>
      <c r="F6" s="83">
        <f t="shared" si="0"/>
        <v>3</v>
      </c>
      <c r="G6" s="84">
        <f t="shared" si="1"/>
        <v>6099.103400450068</v>
      </c>
      <c r="H6" s="84">
        <f t="shared" si="2"/>
        <v>3227.5516541290544</v>
      </c>
      <c r="I6" s="84">
        <f t="shared" si="3"/>
        <v>2871.5517463210135</v>
      </c>
      <c r="J6" s="84">
        <f t="shared" si="4"/>
        <v>1522353.2422356252</v>
      </c>
      <c r="K6" s="85"/>
      <c r="L6" s="86" t="s">
        <v>87</v>
      </c>
      <c r="M6" s="87">
        <f t="shared" ref="M6:N6" si="7">SUM(H28:H39)</f>
        <v>36700.012973947523</v>
      </c>
      <c r="N6" s="87">
        <f t="shared" si="7"/>
        <v>36489.227831453289</v>
      </c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x14ac:dyDescent="0.25">
      <c r="A7" s="62"/>
      <c r="B7" s="78" t="s">
        <v>88</v>
      </c>
      <c r="C7" s="80">
        <v>12</v>
      </c>
      <c r="D7" s="77"/>
      <c r="E7" s="62"/>
      <c r="F7" s="83">
        <f t="shared" si="0"/>
        <v>4</v>
      </c>
      <c r="G7" s="84">
        <f t="shared" si="1"/>
        <v>6099.103400450068</v>
      </c>
      <c r="H7" s="84">
        <f t="shared" si="2"/>
        <v>3221.5692546575524</v>
      </c>
      <c r="I7" s="84">
        <f t="shared" si="3"/>
        <v>2877.5341457925156</v>
      </c>
      <c r="J7" s="84">
        <f t="shared" si="4"/>
        <v>1519475.7080898327</v>
      </c>
      <c r="K7" s="85"/>
      <c r="L7" s="86" t="s">
        <v>89</v>
      </c>
      <c r="M7" s="87">
        <f t="shared" ref="M7:N7" si="8">SUM(H40:H51)</f>
        <v>35777.256705578409</v>
      </c>
      <c r="N7" s="87">
        <f t="shared" si="8"/>
        <v>37411.98409982241</v>
      </c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x14ac:dyDescent="0.25">
      <c r="A8" s="62"/>
      <c r="B8" s="78" t="s">
        <v>90</v>
      </c>
      <c r="C8" s="80">
        <v>50</v>
      </c>
      <c r="D8" s="77"/>
      <c r="E8" s="62"/>
      <c r="F8" s="83">
        <f t="shared" si="0"/>
        <v>5</v>
      </c>
      <c r="G8" s="84">
        <f t="shared" si="1"/>
        <v>6099.103400450068</v>
      </c>
      <c r="H8" s="84">
        <f t="shared" si="2"/>
        <v>3215.5743918538178</v>
      </c>
      <c r="I8" s="84">
        <f t="shared" si="3"/>
        <v>2883.5290085962502</v>
      </c>
      <c r="J8" s="84">
        <f t="shared" si="4"/>
        <v>1516592.1790812365</v>
      </c>
      <c r="K8" s="85"/>
      <c r="L8" s="86" t="s">
        <v>91</v>
      </c>
      <c r="M8" s="87">
        <f t="shared" ref="M8:N8" si="9">SUM(H52:H63)</f>
        <v>34831.165355010562</v>
      </c>
      <c r="N8" s="87">
        <f t="shared" si="9"/>
        <v>38358.07545039025</v>
      </c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x14ac:dyDescent="0.25">
      <c r="A9" s="62"/>
      <c r="B9" s="78" t="s">
        <v>92</v>
      </c>
      <c r="C9" s="80"/>
      <c r="D9" s="77"/>
      <c r="E9" s="62"/>
      <c r="F9" s="83">
        <f t="shared" si="0"/>
        <v>6</v>
      </c>
      <c r="G9" s="84">
        <f t="shared" si="1"/>
        <v>6099.103400450068</v>
      </c>
      <c r="H9" s="84">
        <f t="shared" si="2"/>
        <v>3209.567039752576</v>
      </c>
      <c r="I9" s="84">
        <f t="shared" si="3"/>
        <v>2889.536360697492</v>
      </c>
      <c r="J9" s="84">
        <f t="shared" si="4"/>
        <v>1513702.6427205389</v>
      </c>
      <c r="K9" s="85"/>
      <c r="L9" s="86" t="s">
        <v>93</v>
      </c>
      <c r="M9" s="87">
        <f t="shared" ref="M9:N9" si="10">SUM(H64:H75)</f>
        <v>33861.148814021624</v>
      </c>
      <c r="N9" s="87">
        <f t="shared" si="10"/>
        <v>39328.091991379195</v>
      </c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x14ac:dyDescent="0.25">
      <c r="A10" s="62"/>
      <c r="B10" s="78" t="s">
        <v>94</v>
      </c>
      <c r="C10" s="80">
        <v>950</v>
      </c>
      <c r="D10" s="77"/>
      <c r="E10" s="62"/>
      <c r="F10" s="83">
        <f t="shared" si="0"/>
        <v>7</v>
      </c>
      <c r="G10" s="84">
        <f t="shared" si="1"/>
        <v>6099.103400450068</v>
      </c>
      <c r="H10" s="84">
        <f t="shared" si="2"/>
        <v>3203.5471723344563</v>
      </c>
      <c r="I10" s="84">
        <f t="shared" si="3"/>
        <v>2895.5562281156117</v>
      </c>
      <c r="J10" s="84">
        <f t="shared" si="4"/>
        <v>1510807.0864924232</v>
      </c>
      <c r="K10" s="85"/>
      <c r="L10" s="86" t="s">
        <v>95</v>
      </c>
      <c r="M10" s="87">
        <f t="shared" ref="M10:N10" si="11">SUM(H76:H87)</f>
        <v>32866.602051462804</v>
      </c>
      <c r="N10" s="87">
        <f t="shared" si="11"/>
        <v>40322.638753938001</v>
      </c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x14ac:dyDescent="0.25">
      <c r="A11" s="62"/>
      <c r="B11" s="89" t="s">
        <v>96</v>
      </c>
      <c r="C11" s="90" t="s">
        <v>97</v>
      </c>
      <c r="D11" s="77"/>
      <c r="E11" s="62"/>
      <c r="F11" s="83">
        <f t="shared" si="0"/>
        <v>8</v>
      </c>
      <c r="G11" s="84">
        <f t="shared" si="1"/>
        <v>6099.103400450068</v>
      </c>
      <c r="H11" s="84">
        <f t="shared" si="2"/>
        <v>3197.5147635258818</v>
      </c>
      <c r="I11" s="84">
        <f t="shared" si="3"/>
        <v>2901.5886369241862</v>
      </c>
      <c r="J11" s="84">
        <f t="shared" si="4"/>
        <v>1507905.4978554989</v>
      </c>
      <c r="K11" s="85"/>
      <c r="L11" s="86" t="s">
        <v>98</v>
      </c>
      <c r="M11" s="87">
        <f t="shared" ref="M11:N11" si="12">SUM(H88:H99)</f>
        <v>31846.904735881155</v>
      </c>
      <c r="N11" s="87">
        <f t="shared" si="12"/>
        <v>41342.336069519668</v>
      </c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x14ac:dyDescent="0.25">
      <c r="A12" s="62"/>
      <c r="B12" s="62"/>
      <c r="C12" s="76"/>
      <c r="D12" s="77"/>
      <c r="E12" s="76"/>
      <c r="F12" s="83">
        <f t="shared" si="0"/>
        <v>9</v>
      </c>
      <c r="G12" s="84">
        <f t="shared" si="1"/>
        <v>6099.103400450068</v>
      </c>
      <c r="H12" s="84">
        <f t="shared" si="2"/>
        <v>3191.4697871989561</v>
      </c>
      <c r="I12" s="84">
        <f t="shared" si="3"/>
        <v>2907.6336132511119</v>
      </c>
      <c r="J12" s="84">
        <f t="shared" si="4"/>
        <v>1504997.8642422478</v>
      </c>
      <c r="K12" s="85"/>
      <c r="L12" s="86" t="s">
        <v>99</v>
      </c>
      <c r="M12" s="87">
        <f t="shared" ref="M12:N12" si="13">SUM(H100:H111)</f>
        <v>30801.420848598445</v>
      </c>
      <c r="N12" s="87">
        <f t="shared" si="13"/>
        <v>42387.819956802363</v>
      </c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x14ac:dyDescent="0.25">
      <c r="A13" s="62"/>
      <c r="B13" s="176" t="s">
        <v>100</v>
      </c>
      <c r="C13" s="177"/>
      <c r="D13" s="91" t="s">
        <v>101</v>
      </c>
      <c r="E13" s="76"/>
      <c r="F13" s="83">
        <f t="shared" si="0"/>
        <v>10</v>
      </c>
      <c r="G13" s="84">
        <f t="shared" si="1"/>
        <v>6099.103400450068</v>
      </c>
      <c r="H13" s="84">
        <f t="shared" si="2"/>
        <v>3185.4122171713498</v>
      </c>
      <c r="I13" s="84">
        <f t="shared" si="3"/>
        <v>2913.6911832787182</v>
      </c>
      <c r="J13" s="84">
        <f t="shared" si="4"/>
        <v>1502084.173058969</v>
      </c>
      <c r="K13" s="85"/>
      <c r="L13" s="86" t="s">
        <v>102</v>
      </c>
      <c r="M13" s="87">
        <f t="shared" ref="M13:N13" si="14">SUM(H112:H123)</f>
        <v>29729.498287005455</v>
      </c>
      <c r="N13" s="87">
        <f t="shared" si="14"/>
        <v>43459.74251839536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x14ac:dyDescent="0.25">
      <c r="A14" s="62"/>
      <c r="B14" s="92" t="s">
        <v>103</v>
      </c>
      <c r="C14" s="84">
        <f>C3+IF(C11="Ja",C9+C10,0)</f>
        <v>1530950</v>
      </c>
      <c r="D14" s="84"/>
      <c r="E14" s="76"/>
      <c r="F14" s="83">
        <f t="shared" si="0"/>
        <v>11</v>
      </c>
      <c r="G14" s="84">
        <f t="shared" si="1"/>
        <v>6099.103400450068</v>
      </c>
      <c r="H14" s="84">
        <f t="shared" si="2"/>
        <v>3179.3420272061853</v>
      </c>
      <c r="I14" s="84">
        <f t="shared" si="3"/>
        <v>2919.7613732438826</v>
      </c>
      <c r="J14" s="84">
        <f t="shared" si="4"/>
        <v>1499164.411685725</v>
      </c>
      <c r="K14" s="80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x14ac:dyDescent="0.25">
      <c r="A15" s="62"/>
      <c r="B15" s="78" t="s">
        <v>104</v>
      </c>
      <c r="C15" s="84">
        <f>IFERROR(PMT(C4%/C7,(C5-C6)*C7,C14)*-1+C8,"")</f>
        <v>6099.103400450068</v>
      </c>
      <c r="D15" s="84"/>
      <c r="E15" s="62"/>
      <c r="F15" s="83">
        <f t="shared" si="0"/>
        <v>12</v>
      </c>
      <c r="G15" s="84">
        <f t="shared" si="1"/>
        <v>6099.103400450068</v>
      </c>
      <c r="H15" s="84">
        <f t="shared" si="2"/>
        <v>3173.2591910119268</v>
      </c>
      <c r="I15" s="84">
        <f t="shared" si="3"/>
        <v>2925.8442094381412</v>
      </c>
      <c r="J15" s="84">
        <f t="shared" si="4"/>
        <v>1496238.5674762868</v>
      </c>
      <c r="K15" s="80"/>
      <c r="L15" s="76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x14ac:dyDescent="0.25">
      <c r="A16" s="62"/>
      <c r="B16" s="78" t="s">
        <v>105</v>
      </c>
      <c r="C16" s="84">
        <f>IFERROR(C15*C7*(C5-C6)+(C15*C6*C7),"")</f>
        <v>2195677.2241620244</v>
      </c>
      <c r="D16" s="84" t="str">
        <f>IF(SUM(K:K)&lt;&gt;0, SUM(H:I)-C16,"")</f>
        <v/>
      </c>
      <c r="E16" s="62"/>
      <c r="F16" s="83">
        <f t="shared" si="0"/>
        <v>13</v>
      </c>
      <c r="G16" s="84">
        <f t="shared" si="1"/>
        <v>6099.103400450068</v>
      </c>
      <c r="H16" s="84">
        <f t="shared" si="2"/>
        <v>3167.1636822422643</v>
      </c>
      <c r="I16" s="84">
        <f t="shared" si="3"/>
        <v>2931.9397182078037</v>
      </c>
      <c r="J16" s="84">
        <f t="shared" si="4"/>
        <v>1493306.627758079</v>
      </c>
      <c r="K16" s="80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x14ac:dyDescent="0.25">
      <c r="A17" s="62"/>
      <c r="B17" s="78" t="s">
        <v>76</v>
      </c>
      <c r="C17" s="84">
        <f>IFERROR(C16-C14,"")</f>
        <v>664727.22416202445</v>
      </c>
      <c r="D17" s="84" t="str">
        <f>IF(SUM(K:K)&lt;&gt;0, SUM(H:H)-C17,"")</f>
        <v/>
      </c>
      <c r="E17" s="62"/>
      <c r="F17" s="83">
        <f t="shared" si="0"/>
        <v>14</v>
      </c>
      <c r="G17" s="84">
        <f t="shared" si="1"/>
        <v>6099.103400450068</v>
      </c>
      <c r="H17" s="84">
        <f t="shared" si="2"/>
        <v>3161.0554744959977</v>
      </c>
      <c r="I17" s="84">
        <f t="shared" si="3"/>
        <v>2938.0479259540703</v>
      </c>
      <c r="J17" s="84">
        <f t="shared" si="4"/>
        <v>1490368.579832125</v>
      </c>
      <c r="K17" s="80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x14ac:dyDescent="0.25">
      <c r="A18" s="62"/>
      <c r="B18" s="78" t="s">
        <v>106</v>
      </c>
      <c r="C18" s="84">
        <f>C9+C10</f>
        <v>950</v>
      </c>
      <c r="D18" s="84"/>
      <c r="E18" s="62"/>
      <c r="F18" s="83">
        <f t="shared" si="0"/>
        <v>15</v>
      </c>
      <c r="G18" s="84">
        <f t="shared" si="1"/>
        <v>6099.103400450068</v>
      </c>
      <c r="H18" s="84">
        <f t="shared" si="2"/>
        <v>3154.9345413169272</v>
      </c>
      <c r="I18" s="84">
        <f t="shared" si="3"/>
        <v>2944.1688591331408</v>
      </c>
      <c r="J18" s="84">
        <f t="shared" si="4"/>
        <v>1487424.410972992</v>
      </c>
      <c r="K18" s="80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x14ac:dyDescent="0.25">
      <c r="A19" s="62"/>
      <c r="B19" s="78" t="s">
        <v>107</v>
      </c>
      <c r="C19" s="84">
        <f>SUM(C17:C18)</f>
        <v>665677.22416202445</v>
      </c>
      <c r="D19" s="84" t="str">
        <f>IFERROR(D17+D18,"")</f>
        <v/>
      </c>
      <c r="E19" s="62"/>
      <c r="F19" s="83">
        <f t="shared" si="0"/>
        <v>16</v>
      </c>
      <c r="G19" s="84">
        <f t="shared" si="1"/>
        <v>6099.103400450068</v>
      </c>
      <c r="H19" s="84">
        <f t="shared" si="2"/>
        <v>3148.8008561937331</v>
      </c>
      <c r="I19" s="84">
        <f t="shared" si="3"/>
        <v>2950.3025442563348</v>
      </c>
      <c r="J19" s="84">
        <f t="shared" si="4"/>
        <v>1484474.1084287355</v>
      </c>
      <c r="K19" s="80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x14ac:dyDescent="0.25">
      <c r="A20" s="62"/>
      <c r="B20" s="78" t="s">
        <v>108</v>
      </c>
      <c r="C20" s="93">
        <f>IFERROR($C$19/$C$3%,"")</f>
        <v>43.50831530470748</v>
      </c>
      <c r="D20" s="93" t="str">
        <f>IFERROR($D$19/$C$3%,"")</f>
        <v/>
      </c>
      <c r="E20" s="62"/>
      <c r="F20" s="83">
        <f t="shared" si="0"/>
        <v>17</v>
      </c>
      <c r="G20" s="84">
        <f t="shared" si="1"/>
        <v>6099.103400450068</v>
      </c>
      <c r="H20" s="84">
        <f t="shared" si="2"/>
        <v>3142.6543925598658</v>
      </c>
      <c r="I20" s="84">
        <f t="shared" si="3"/>
        <v>2956.4490078902022</v>
      </c>
      <c r="J20" s="84">
        <f t="shared" si="4"/>
        <v>1481517.6594208453</v>
      </c>
      <c r="K20" s="80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75" customHeight="1" x14ac:dyDescent="0.25">
      <c r="A21" s="62"/>
      <c r="B21" s="89" t="s">
        <v>109</v>
      </c>
      <c r="C21" s="84">
        <f>C8*C7*C5</f>
        <v>18000</v>
      </c>
      <c r="D21" s="94"/>
      <c r="E21" s="62"/>
      <c r="F21" s="83">
        <f t="shared" si="0"/>
        <v>18</v>
      </c>
      <c r="G21" s="84">
        <f t="shared" si="1"/>
        <v>6099.103400450068</v>
      </c>
      <c r="H21" s="84">
        <f t="shared" si="2"/>
        <v>3136.4951237934279</v>
      </c>
      <c r="I21" s="84">
        <f t="shared" si="3"/>
        <v>2962.6082766566401</v>
      </c>
      <c r="J21" s="84">
        <f t="shared" si="4"/>
        <v>1478555.0511441887</v>
      </c>
      <c r="K21" s="80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75" customHeight="1" x14ac:dyDescent="0.25">
      <c r="A22" s="62"/>
      <c r="B22" s="62"/>
      <c r="C22" s="76"/>
      <c r="D22" s="95"/>
      <c r="E22" s="62"/>
      <c r="F22" s="83">
        <f t="shared" si="0"/>
        <v>19</v>
      </c>
      <c r="G22" s="84">
        <f t="shared" si="1"/>
        <v>6099.103400450068</v>
      </c>
      <c r="H22" s="84">
        <f t="shared" si="2"/>
        <v>3130.3230232170604</v>
      </c>
      <c r="I22" s="84">
        <f t="shared" si="3"/>
        <v>2968.7803772330076</v>
      </c>
      <c r="J22" s="84">
        <f t="shared" si="4"/>
        <v>1475586.2707669558</v>
      </c>
      <c r="K22" s="80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5.75" customHeight="1" x14ac:dyDescent="0.25">
      <c r="A23" s="62"/>
      <c r="B23" s="176" t="s">
        <v>110</v>
      </c>
      <c r="C23" s="177"/>
      <c r="D23" s="91" t="s">
        <v>111</v>
      </c>
      <c r="E23" s="62"/>
      <c r="F23" s="83">
        <f t="shared" si="0"/>
        <v>20</v>
      </c>
      <c r="G23" s="84">
        <f t="shared" si="1"/>
        <v>6099.103400450068</v>
      </c>
      <c r="H23" s="84">
        <f t="shared" si="2"/>
        <v>3124.1380640978246</v>
      </c>
      <c r="I23" s="84">
        <f t="shared" si="3"/>
        <v>2974.9653363522434</v>
      </c>
      <c r="J23" s="84">
        <f t="shared" si="4"/>
        <v>1472611.3054306034</v>
      </c>
      <c r="K23" s="80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75" customHeight="1" x14ac:dyDescent="0.25">
      <c r="A24" s="96">
        <f>3-$C$6</f>
        <v>3</v>
      </c>
      <c r="B24" s="78" t="str">
        <f t="shared" ref="B24:B35" si="15">A24+$C$6&amp;" år"</f>
        <v>3 år</v>
      </c>
      <c r="C24" s="84">
        <f t="shared" ref="C24:C35" si="16">IFERROR((PMT($C$4%/$C$7,A24*$C$7,$C$14)*-1)*$C$7*A24-$C$14+($C$15*$C$6*$C$7)+$C$8*$C$5*$C$7+$C$18,"")</f>
        <v>78671.630685915006</v>
      </c>
      <c r="D24" s="97">
        <f t="shared" ref="D24:D35" si="17">IFERROR(C24/$C$3%,"")</f>
        <v>5.1419366461382356</v>
      </c>
      <c r="E24" s="62"/>
      <c r="F24" s="83">
        <f t="shared" si="0"/>
        <v>21</v>
      </c>
      <c r="G24" s="84">
        <f t="shared" si="1"/>
        <v>6099.103400450068</v>
      </c>
      <c r="H24" s="84">
        <f t="shared" si="2"/>
        <v>3117.9402196470905</v>
      </c>
      <c r="I24" s="84">
        <f t="shared" si="3"/>
        <v>2981.1631808029774</v>
      </c>
      <c r="J24" s="84">
        <f t="shared" si="4"/>
        <v>1469630.1422498005</v>
      </c>
      <c r="K24" s="80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75" customHeight="1" x14ac:dyDescent="0.25">
      <c r="A25" s="96">
        <f>4-$C$6</f>
        <v>4</v>
      </c>
      <c r="B25" s="78" t="str">
        <f t="shared" si="15"/>
        <v>4 år</v>
      </c>
      <c r="C25" s="84">
        <f t="shared" si="16"/>
        <v>98365.939071520697</v>
      </c>
      <c r="D25" s="97">
        <f t="shared" si="17"/>
        <v>6.4291463445438364</v>
      </c>
      <c r="E25" s="62"/>
      <c r="F25" s="83">
        <f t="shared" si="0"/>
        <v>22</v>
      </c>
      <c r="G25" s="84">
        <f t="shared" si="1"/>
        <v>6099.103400450068</v>
      </c>
      <c r="H25" s="84">
        <f t="shared" si="2"/>
        <v>3111.7294630204178</v>
      </c>
      <c r="I25" s="84">
        <f t="shared" si="3"/>
        <v>2987.3739374296501</v>
      </c>
      <c r="J25" s="84">
        <f t="shared" si="4"/>
        <v>1466642.7683123709</v>
      </c>
      <c r="K25" s="80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75" customHeight="1" x14ac:dyDescent="0.25">
      <c r="A26" s="96">
        <f>5-$C$6</f>
        <v>5</v>
      </c>
      <c r="B26" s="78" t="str">
        <f t="shared" si="15"/>
        <v>5 år</v>
      </c>
      <c r="C26" s="84">
        <f t="shared" si="16"/>
        <v>118219.39499460184</v>
      </c>
      <c r="D26" s="97">
        <f t="shared" si="17"/>
        <v>7.7267578427844343</v>
      </c>
      <c r="E26" s="62"/>
      <c r="F26" s="83">
        <f t="shared" si="0"/>
        <v>23</v>
      </c>
      <c r="G26" s="84">
        <f t="shared" si="1"/>
        <v>6099.103400450068</v>
      </c>
      <c r="H26" s="84">
        <f t="shared" si="2"/>
        <v>3105.5057673174397</v>
      </c>
      <c r="I26" s="84">
        <f t="shared" si="3"/>
        <v>2993.5976331326283</v>
      </c>
      <c r="J26" s="84">
        <f t="shared" si="4"/>
        <v>1463649.1706792382</v>
      </c>
      <c r="K26" s="80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75" customHeight="1" x14ac:dyDescent="0.25">
      <c r="A27" s="96">
        <f>6-$C$6</f>
        <v>6</v>
      </c>
      <c r="B27" s="78" t="str">
        <f t="shared" si="15"/>
        <v>6 år</v>
      </c>
      <c r="C27" s="84">
        <f t="shared" si="16"/>
        <v>138231.90917000454</v>
      </c>
      <c r="D27" s="97">
        <f t="shared" si="17"/>
        <v>9.0347653052290546</v>
      </c>
      <c r="E27" s="62"/>
      <c r="F27" s="83">
        <f t="shared" si="0"/>
        <v>24</v>
      </c>
      <c r="G27" s="84">
        <f t="shared" si="1"/>
        <v>6099.103400450068</v>
      </c>
      <c r="H27" s="84">
        <f t="shared" si="2"/>
        <v>3099.2691055817463</v>
      </c>
      <c r="I27" s="84">
        <f t="shared" si="3"/>
        <v>2999.8342948683216</v>
      </c>
      <c r="J27" s="84">
        <f t="shared" si="4"/>
        <v>1460649.3363843698</v>
      </c>
      <c r="K27" s="80"/>
      <c r="L27" s="76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75" customHeight="1" x14ac:dyDescent="0.25">
      <c r="A28" s="96">
        <f>7-$C$6</f>
        <v>7</v>
      </c>
      <c r="B28" s="78" t="str">
        <f t="shared" si="15"/>
        <v>7 år</v>
      </c>
      <c r="C28" s="84">
        <f t="shared" si="16"/>
        <v>158403.372552393</v>
      </c>
      <c r="D28" s="97">
        <f t="shared" si="17"/>
        <v>10.35316160473157</v>
      </c>
      <c r="E28" s="62"/>
      <c r="F28" s="83">
        <f t="shared" si="0"/>
        <v>25</v>
      </c>
      <c r="G28" s="84">
        <f t="shared" si="1"/>
        <v>6099.103400450068</v>
      </c>
      <c r="H28" s="84">
        <f t="shared" si="2"/>
        <v>3093.0194508007703</v>
      </c>
      <c r="I28" s="84">
        <f t="shared" si="3"/>
        <v>3006.0839496492977</v>
      </c>
      <c r="J28" s="84">
        <f t="shared" si="4"/>
        <v>1457643.2524347205</v>
      </c>
      <c r="K28" s="80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75" customHeight="1" x14ac:dyDescent="0.25">
      <c r="A29" s="96">
        <f>10-$C$6</f>
        <v>10</v>
      </c>
      <c r="B29" s="78" t="str">
        <f t="shared" si="15"/>
        <v>10 år</v>
      </c>
      <c r="C29" s="84">
        <f t="shared" si="16"/>
        <v>219870.07216421468</v>
      </c>
      <c r="D29" s="97">
        <f t="shared" si="17"/>
        <v>14.370592951909456</v>
      </c>
      <c r="E29" s="62"/>
      <c r="F29" s="83">
        <f t="shared" si="0"/>
        <v>26</v>
      </c>
      <c r="G29" s="84">
        <f t="shared" si="1"/>
        <v>6099.103400450068</v>
      </c>
      <c r="H29" s="84">
        <f t="shared" si="2"/>
        <v>3086.7567759056678</v>
      </c>
      <c r="I29" s="84">
        <f t="shared" si="3"/>
        <v>3012.3466245444001</v>
      </c>
      <c r="J29" s="84">
        <f t="shared" si="4"/>
        <v>1454630.9058101762</v>
      </c>
      <c r="K29" s="80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75" customHeight="1" x14ac:dyDescent="0.25">
      <c r="A30" s="98">
        <v>15</v>
      </c>
      <c r="B30" s="78" t="str">
        <f t="shared" si="15"/>
        <v>15 år</v>
      </c>
      <c r="C30" s="84">
        <f t="shared" si="16"/>
        <v>325477.69115815358</v>
      </c>
      <c r="D30" s="97">
        <f t="shared" si="17"/>
        <v>21.273051709683241</v>
      </c>
      <c r="E30" s="62"/>
      <c r="F30" s="83">
        <f t="shared" si="0"/>
        <v>27</v>
      </c>
      <c r="G30" s="84">
        <f t="shared" si="1"/>
        <v>6099.103400450068</v>
      </c>
      <c r="H30" s="84">
        <f t="shared" si="2"/>
        <v>3080.4810537712005</v>
      </c>
      <c r="I30" s="84">
        <f t="shared" si="3"/>
        <v>3018.6223466788674</v>
      </c>
      <c r="J30" s="84">
        <f t="shared" si="4"/>
        <v>1451612.2834634972</v>
      </c>
      <c r="K30" s="80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75" customHeight="1" x14ac:dyDescent="0.25">
      <c r="A31" s="96">
        <f>20-$C$6</f>
        <v>20</v>
      </c>
      <c r="B31" s="78" t="str">
        <f t="shared" si="15"/>
        <v>20 år</v>
      </c>
      <c r="C31" s="84">
        <f t="shared" si="16"/>
        <v>435011.60181046184</v>
      </c>
      <c r="D31" s="97">
        <f t="shared" si="17"/>
        <v>28.432130837285086</v>
      </c>
      <c r="E31" s="62"/>
      <c r="F31" s="83">
        <f t="shared" si="0"/>
        <v>28</v>
      </c>
      <c r="G31" s="84">
        <f t="shared" si="1"/>
        <v>6099.103400450068</v>
      </c>
      <c r="H31" s="84">
        <f t="shared" si="2"/>
        <v>3074.1922572156195</v>
      </c>
      <c r="I31" s="84">
        <f t="shared" si="3"/>
        <v>3024.9111432344484</v>
      </c>
      <c r="J31" s="84">
        <f t="shared" si="4"/>
        <v>1448587.3723202627</v>
      </c>
      <c r="K31" s="80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75" customHeight="1" x14ac:dyDescent="0.25">
      <c r="A32" s="96">
        <f>25-$C$6</f>
        <v>25</v>
      </c>
      <c r="B32" s="78" t="str">
        <f t="shared" si="15"/>
        <v>25 år</v>
      </c>
      <c r="C32" s="84">
        <f t="shared" si="16"/>
        <v>548429.36710380483</v>
      </c>
      <c r="D32" s="97">
        <f t="shared" si="17"/>
        <v>35.845056673451296</v>
      </c>
      <c r="E32" s="62"/>
      <c r="F32" s="83">
        <f t="shared" si="0"/>
        <v>29</v>
      </c>
      <c r="G32" s="84">
        <f t="shared" si="1"/>
        <v>6099.103400450068</v>
      </c>
      <c r="H32" s="84">
        <f t="shared" si="2"/>
        <v>3067.8903590005471</v>
      </c>
      <c r="I32" s="84">
        <f t="shared" si="3"/>
        <v>3031.2130414495209</v>
      </c>
      <c r="J32" s="84">
        <f t="shared" si="4"/>
        <v>1445556.1592788133</v>
      </c>
      <c r="K32" s="80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ht="15.75" customHeight="1" x14ac:dyDescent="0.25">
      <c r="A33" s="96">
        <f>30-$C$6</f>
        <v>30</v>
      </c>
      <c r="B33" s="78" t="str">
        <f t="shared" si="15"/>
        <v>30 år</v>
      </c>
      <c r="C33" s="84">
        <f t="shared" si="16"/>
        <v>665677.22416202445</v>
      </c>
      <c r="D33" s="97">
        <f t="shared" si="17"/>
        <v>43.50831530470748</v>
      </c>
      <c r="E33" s="62"/>
      <c r="F33" s="83">
        <f t="shared" si="0"/>
        <v>30</v>
      </c>
      <c r="G33" s="84">
        <f t="shared" si="1"/>
        <v>6099.103400450068</v>
      </c>
      <c r="H33" s="84">
        <f t="shared" si="2"/>
        <v>3061.5753318308612</v>
      </c>
      <c r="I33" s="84">
        <f t="shared" si="3"/>
        <v>3037.5280686192068</v>
      </c>
      <c r="J33" s="84">
        <f t="shared" si="4"/>
        <v>1442518.631210194</v>
      </c>
      <c r="K33" s="80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15.75" customHeight="1" x14ac:dyDescent="0.25">
      <c r="A34" s="96">
        <f>35-$C$6</f>
        <v>35</v>
      </c>
      <c r="B34" s="78" t="str">
        <f t="shared" si="15"/>
        <v>35 år</v>
      </c>
      <c r="C34" s="84">
        <f t="shared" si="16"/>
        <v>786690.65997115895</v>
      </c>
      <c r="D34" s="97">
        <f t="shared" si="17"/>
        <v>51.417690194193398</v>
      </c>
      <c r="E34" s="62"/>
      <c r="F34" s="83">
        <f t="shared" si="0"/>
        <v>31</v>
      </c>
      <c r="G34" s="84">
        <f t="shared" si="1"/>
        <v>6099.103400450068</v>
      </c>
      <c r="H34" s="84">
        <f t="shared" si="2"/>
        <v>3055.247148354571</v>
      </c>
      <c r="I34" s="84">
        <f t="shared" si="3"/>
        <v>3043.856252095497</v>
      </c>
      <c r="J34" s="84">
        <f t="shared" si="4"/>
        <v>1439474.7749580985</v>
      </c>
      <c r="K34" s="80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ht="15.75" customHeight="1" x14ac:dyDescent="0.25">
      <c r="A35" s="96">
        <f>40-$C$6</f>
        <v>40</v>
      </c>
      <c r="B35" s="78" t="str">
        <f t="shared" si="15"/>
        <v>40 år</v>
      </c>
      <c r="C35" s="84">
        <f t="shared" si="16"/>
        <v>911395.08989957441</v>
      </c>
      <c r="D35" s="97">
        <f t="shared" si="17"/>
        <v>59.568306529383946</v>
      </c>
      <c r="E35" s="62"/>
      <c r="F35" s="83">
        <f t="shared" si="0"/>
        <v>32</v>
      </c>
      <c r="G35" s="84">
        <f t="shared" si="1"/>
        <v>6099.103400450068</v>
      </c>
      <c r="H35" s="84">
        <f t="shared" si="2"/>
        <v>3048.9057811627058</v>
      </c>
      <c r="I35" s="84">
        <f t="shared" si="3"/>
        <v>3050.1976192873622</v>
      </c>
      <c r="J35" s="84">
        <f t="shared" si="4"/>
        <v>1436424.5773388112</v>
      </c>
      <c r="K35" s="80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15.75" customHeight="1" x14ac:dyDescent="0.25">
      <c r="A36" s="62"/>
      <c r="B36" s="62"/>
      <c r="C36" s="76"/>
      <c r="D36" s="77"/>
      <c r="E36" s="62"/>
      <c r="F36" s="83">
        <f t="shared" si="0"/>
        <v>33</v>
      </c>
      <c r="G36" s="84">
        <f t="shared" si="1"/>
        <v>6099.103400450068</v>
      </c>
      <c r="H36" s="84">
        <f t="shared" si="2"/>
        <v>3042.5512027891905</v>
      </c>
      <c r="I36" s="84">
        <f t="shared" si="3"/>
        <v>3056.5521976608775</v>
      </c>
      <c r="J36" s="84">
        <f t="shared" si="4"/>
        <v>1433368.0251411505</v>
      </c>
      <c r="K36" s="80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ht="15.75" customHeight="1" x14ac:dyDescent="0.25">
      <c r="A37" s="62"/>
      <c r="B37" s="176" t="s">
        <v>112</v>
      </c>
      <c r="C37" s="177"/>
      <c r="D37" s="77"/>
      <c r="E37" s="62"/>
      <c r="F37" s="83">
        <f t="shared" si="0"/>
        <v>34</v>
      </c>
      <c r="G37" s="84">
        <f t="shared" si="1"/>
        <v>6099.103400450068</v>
      </c>
      <c r="H37" s="84">
        <f t="shared" si="2"/>
        <v>3036.1833857107304</v>
      </c>
      <c r="I37" s="84">
        <f t="shared" si="3"/>
        <v>3062.9200147393376</v>
      </c>
      <c r="J37" s="84">
        <f t="shared" si="4"/>
        <v>1430305.1051264112</v>
      </c>
      <c r="K37" s="80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15.75" customHeight="1" x14ac:dyDescent="0.25">
      <c r="A38" s="62"/>
      <c r="B38" s="78" t="s">
        <v>113</v>
      </c>
      <c r="C38" s="84">
        <f>SUM(H:H)</f>
        <v>664727.22416202514</v>
      </c>
      <c r="D38" s="77"/>
      <c r="E38" s="62"/>
      <c r="F38" s="83">
        <f t="shared" si="0"/>
        <v>35</v>
      </c>
      <c r="G38" s="84">
        <f t="shared" si="1"/>
        <v>6099.103400450068</v>
      </c>
      <c r="H38" s="84">
        <f t="shared" si="2"/>
        <v>3029.8023023466903</v>
      </c>
      <c r="I38" s="84">
        <f t="shared" si="3"/>
        <v>3069.3010981033776</v>
      </c>
      <c r="J38" s="84">
        <f t="shared" si="4"/>
        <v>1427235.8040283078</v>
      </c>
      <c r="K38" s="80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ht="15.75" customHeight="1" x14ac:dyDescent="0.25">
      <c r="A39" s="62"/>
      <c r="B39" s="78" t="s">
        <v>79</v>
      </c>
      <c r="C39" s="84">
        <f>SUM(K:K)</f>
        <v>0</v>
      </c>
      <c r="D39" s="77"/>
      <c r="E39" s="62"/>
      <c r="F39" s="83">
        <f t="shared" si="0"/>
        <v>36</v>
      </c>
      <c r="G39" s="84">
        <f t="shared" si="1"/>
        <v>6099.103400450068</v>
      </c>
      <c r="H39" s="84">
        <f t="shared" si="2"/>
        <v>3023.4079250589748</v>
      </c>
      <c r="I39" s="84">
        <f t="shared" si="3"/>
        <v>3075.6954753910932</v>
      </c>
      <c r="J39" s="84">
        <f t="shared" si="4"/>
        <v>1424160.1085529167</v>
      </c>
      <c r="K39" s="80"/>
      <c r="L39" s="76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5.75" customHeight="1" x14ac:dyDescent="0.25">
      <c r="A40" s="62"/>
      <c r="B40" s="78" t="s">
        <v>114</v>
      </c>
      <c r="C40" s="84">
        <f>C17-C38</f>
        <v>0</v>
      </c>
      <c r="D40" s="77"/>
      <c r="E40" s="62"/>
      <c r="F40" s="83">
        <f t="shared" si="0"/>
        <v>37</v>
      </c>
      <c r="G40" s="84">
        <f t="shared" si="1"/>
        <v>6099.103400450068</v>
      </c>
      <c r="H40" s="84">
        <f t="shared" si="2"/>
        <v>3017.0002261519098</v>
      </c>
      <c r="I40" s="84">
        <f t="shared" si="3"/>
        <v>3082.1031742981581</v>
      </c>
      <c r="J40" s="84">
        <f t="shared" si="4"/>
        <v>1421078.0053786186</v>
      </c>
      <c r="K40" s="80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ht="15.75" customHeight="1" x14ac:dyDescent="0.25">
      <c r="A41" s="62"/>
      <c r="B41" s="62"/>
      <c r="C41" s="76"/>
      <c r="D41" s="77"/>
      <c r="E41" s="62"/>
      <c r="F41" s="83">
        <f t="shared" si="0"/>
        <v>38</v>
      </c>
      <c r="G41" s="84">
        <f t="shared" si="1"/>
        <v>6099.103400450068</v>
      </c>
      <c r="H41" s="84">
        <f t="shared" si="2"/>
        <v>3010.5791778721218</v>
      </c>
      <c r="I41" s="84">
        <f t="shared" si="3"/>
        <v>3088.5242225779461</v>
      </c>
      <c r="J41" s="84">
        <f t="shared" si="4"/>
        <v>1417989.4811560407</v>
      </c>
      <c r="K41" s="80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5.75" customHeight="1" x14ac:dyDescent="0.25">
      <c r="A42" s="62"/>
      <c r="B42" s="62"/>
      <c r="C42" s="76"/>
      <c r="D42" s="77"/>
      <c r="E42" s="62"/>
      <c r="F42" s="83">
        <f t="shared" si="0"/>
        <v>39</v>
      </c>
      <c r="G42" s="84">
        <f t="shared" si="1"/>
        <v>6099.103400450068</v>
      </c>
      <c r="H42" s="84">
        <f t="shared" si="2"/>
        <v>3004.1447524084183</v>
      </c>
      <c r="I42" s="84">
        <f t="shared" si="3"/>
        <v>3094.9586480416497</v>
      </c>
      <c r="J42" s="84">
        <f t="shared" si="4"/>
        <v>1414894.5225079991</v>
      </c>
      <c r="K42" s="80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ht="15.75" customHeight="1" x14ac:dyDescent="0.25">
      <c r="A43" s="62"/>
      <c r="B43" s="76"/>
      <c r="C43" s="76"/>
      <c r="D43" s="77"/>
      <c r="E43" s="62"/>
      <c r="F43" s="83">
        <f t="shared" si="0"/>
        <v>40</v>
      </c>
      <c r="G43" s="84">
        <f t="shared" si="1"/>
        <v>6099.103400450068</v>
      </c>
      <c r="H43" s="84">
        <f t="shared" si="2"/>
        <v>2997.6969218916652</v>
      </c>
      <c r="I43" s="84">
        <f t="shared" si="3"/>
        <v>3101.4064785584028</v>
      </c>
      <c r="J43" s="84">
        <f t="shared" si="4"/>
        <v>1411793.1160294407</v>
      </c>
      <c r="K43" s="80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15.75" customHeight="1" x14ac:dyDescent="0.25">
      <c r="A44" s="62"/>
      <c r="B44" s="76"/>
      <c r="C44" s="76"/>
      <c r="D44" s="77"/>
      <c r="E44" s="62"/>
      <c r="F44" s="83">
        <f t="shared" si="0"/>
        <v>41</v>
      </c>
      <c r="G44" s="84">
        <f t="shared" si="1"/>
        <v>6099.103400450068</v>
      </c>
      <c r="H44" s="84">
        <f t="shared" si="2"/>
        <v>2991.235658394668</v>
      </c>
      <c r="I44" s="84">
        <f t="shared" si="3"/>
        <v>3107.8677420554</v>
      </c>
      <c r="J44" s="84">
        <f t="shared" si="4"/>
        <v>1408685.2482873853</v>
      </c>
      <c r="K44" s="80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ht="15.75" customHeight="1" x14ac:dyDescent="0.25">
      <c r="A45" s="62"/>
      <c r="B45" s="76"/>
      <c r="C45" s="76"/>
      <c r="D45" s="77"/>
      <c r="E45" s="62"/>
      <c r="F45" s="83">
        <f t="shared" si="0"/>
        <v>42</v>
      </c>
      <c r="G45" s="84">
        <f t="shared" si="1"/>
        <v>6099.103400450068</v>
      </c>
      <c r="H45" s="84">
        <f t="shared" si="2"/>
        <v>2984.7609339320529</v>
      </c>
      <c r="I45" s="84">
        <f t="shared" si="3"/>
        <v>3114.342466518015</v>
      </c>
      <c r="J45" s="84">
        <f t="shared" si="4"/>
        <v>1405570.9058208673</v>
      </c>
      <c r="K45" s="80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15.75" customHeight="1" x14ac:dyDescent="0.25">
      <c r="A46" s="62"/>
      <c r="B46" s="62"/>
      <c r="C46" s="76"/>
      <c r="D46" s="77"/>
      <c r="E46" s="62"/>
      <c r="F46" s="83">
        <f t="shared" si="0"/>
        <v>43</v>
      </c>
      <c r="G46" s="84">
        <f t="shared" si="1"/>
        <v>6099.103400450068</v>
      </c>
      <c r="H46" s="84">
        <f t="shared" si="2"/>
        <v>2978.2727204601401</v>
      </c>
      <c r="I46" s="84">
        <f t="shared" si="3"/>
        <v>3120.8306799899278</v>
      </c>
      <c r="J46" s="84">
        <f t="shared" si="4"/>
        <v>1402450.0751408774</v>
      </c>
      <c r="K46" s="80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ht="15.75" customHeight="1" x14ac:dyDescent="0.25">
      <c r="A47" s="62"/>
      <c r="B47" s="76"/>
      <c r="C47" s="76"/>
      <c r="D47" s="77"/>
      <c r="E47" s="62"/>
      <c r="F47" s="83">
        <f t="shared" si="0"/>
        <v>44</v>
      </c>
      <c r="G47" s="84">
        <f t="shared" si="1"/>
        <v>6099.103400450068</v>
      </c>
      <c r="H47" s="84">
        <f t="shared" si="2"/>
        <v>2971.770989876828</v>
      </c>
      <c r="I47" s="84">
        <f t="shared" si="3"/>
        <v>3127.3324105732399</v>
      </c>
      <c r="J47" s="84">
        <f t="shared" si="4"/>
        <v>1399322.7427303041</v>
      </c>
      <c r="K47" s="80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15.75" customHeight="1" x14ac:dyDescent="0.25">
      <c r="A48" s="62"/>
      <c r="B48" s="62"/>
      <c r="C48" s="76"/>
      <c r="D48" s="77"/>
      <c r="E48" s="62"/>
      <c r="F48" s="83">
        <f t="shared" si="0"/>
        <v>45</v>
      </c>
      <c r="G48" s="84">
        <f t="shared" si="1"/>
        <v>6099.103400450068</v>
      </c>
      <c r="H48" s="84">
        <f t="shared" si="2"/>
        <v>2965.2557140214672</v>
      </c>
      <c r="I48" s="84">
        <f t="shared" si="3"/>
        <v>3133.8476864286008</v>
      </c>
      <c r="J48" s="84">
        <f t="shared" si="4"/>
        <v>1396188.8950438756</v>
      </c>
      <c r="K48" s="80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ht="15.75" customHeight="1" x14ac:dyDescent="0.25">
      <c r="A49" s="62"/>
      <c r="B49" s="62"/>
      <c r="C49" s="76"/>
      <c r="D49" s="77"/>
      <c r="E49" s="62"/>
      <c r="F49" s="83">
        <f t="shared" si="0"/>
        <v>46</v>
      </c>
      <c r="G49" s="84">
        <f t="shared" si="1"/>
        <v>6099.103400450068</v>
      </c>
      <c r="H49" s="84">
        <f t="shared" si="2"/>
        <v>2958.7268646747411</v>
      </c>
      <c r="I49" s="84">
        <f t="shared" si="3"/>
        <v>3140.3765357753268</v>
      </c>
      <c r="J49" s="84">
        <f t="shared" si="4"/>
        <v>1393048.5185081002</v>
      </c>
      <c r="K49" s="80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ht="15.75" customHeight="1" x14ac:dyDescent="0.25">
      <c r="A50" s="62"/>
      <c r="B50" s="62"/>
      <c r="C50" s="76"/>
      <c r="D50" s="77"/>
      <c r="E50" s="62"/>
      <c r="F50" s="83">
        <f t="shared" si="0"/>
        <v>47</v>
      </c>
      <c r="G50" s="84">
        <f t="shared" si="1"/>
        <v>6099.103400450068</v>
      </c>
      <c r="H50" s="84">
        <f t="shared" si="2"/>
        <v>2952.184413558542</v>
      </c>
      <c r="I50" s="84">
        <f t="shared" si="3"/>
        <v>3146.9189868915259</v>
      </c>
      <c r="J50" s="84">
        <f t="shared" si="4"/>
        <v>1389901.5995212086</v>
      </c>
      <c r="K50" s="80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ht="15.75" customHeight="1" x14ac:dyDescent="0.25">
      <c r="A51" s="62"/>
      <c r="B51" s="62"/>
      <c r="C51" s="76"/>
      <c r="D51" s="77"/>
      <c r="E51" s="62"/>
      <c r="F51" s="83">
        <f t="shared" si="0"/>
        <v>48</v>
      </c>
      <c r="G51" s="84">
        <f t="shared" si="1"/>
        <v>6099.103400450068</v>
      </c>
      <c r="H51" s="84">
        <f t="shared" si="2"/>
        <v>2945.6283323358512</v>
      </c>
      <c r="I51" s="84">
        <f t="shared" si="3"/>
        <v>3153.4750681142168</v>
      </c>
      <c r="J51" s="84">
        <f t="shared" si="4"/>
        <v>1386748.1244530943</v>
      </c>
      <c r="K51" s="80"/>
      <c r="L51" s="76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ht="15.75" customHeight="1" x14ac:dyDescent="0.25">
      <c r="A52" s="62"/>
      <c r="B52" s="62"/>
      <c r="C52" s="76"/>
      <c r="D52" s="77"/>
      <c r="E52" s="62"/>
      <c r="F52" s="83">
        <f t="shared" si="0"/>
        <v>49</v>
      </c>
      <c r="G52" s="84">
        <f t="shared" si="1"/>
        <v>6099.103400450068</v>
      </c>
      <c r="H52" s="84">
        <f t="shared" si="2"/>
        <v>2939.0585926106137</v>
      </c>
      <c r="I52" s="84">
        <f t="shared" si="3"/>
        <v>3160.0448078394543</v>
      </c>
      <c r="J52" s="84">
        <f t="shared" si="4"/>
        <v>1383588.0796452549</v>
      </c>
      <c r="K52" s="80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ht="15.75" customHeight="1" x14ac:dyDescent="0.25">
      <c r="A53" s="62"/>
      <c r="B53" s="62"/>
      <c r="C53" s="76"/>
      <c r="D53" s="77"/>
      <c r="E53" s="62"/>
      <c r="F53" s="83">
        <f t="shared" si="0"/>
        <v>50</v>
      </c>
      <c r="G53" s="84">
        <f t="shared" si="1"/>
        <v>6099.103400450068</v>
      </c>
      <c r="H53" s="84">
        <f t="shared" si="2"/>
        <v>2932.4751659276149</v>
      </c>
      <c r="I53" s="84">
        <f t="shared" si="3"/>
        <v>3166.6282345224531</v>
      </c>
      <c r="J53" s="84">
        <f t="shared" si="4"/>
        <v>1380421.4514107325</v>
      </c>
      <c r="K53" s="80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15.75" customHeight="1" x14ac:dyDescent="0.25">
      <c r="A54" s="62"/>
      <c r="B54" s="62"/>
      <c r="C54" s="76"/>
      <c r="D54" s="77"/>
      <c r="E54" s="62"/>
      <c r="F54" s="83">
        <f t="shared" si="0"/>
        <v>51</v>
      </c>
      <c r="G54" s="84">
        <f t="shared" si="1"/>
        <v>6099.103400450068</v>
      </c>
      <c r="H54" s="84">
        <f t="shared" si="2"/>
        <v>2925.878023772359</v>
      </c>
      <c r="I54" s="84">
        <f t="shared" si="3"/>
        <v>3173.2253766777089</v>
      </c>
      <c r="J54" s="84">
        <f t="shared" si="4"/>
        <v>1377248.2260340548</v>
      </c>
      <c r="K54" s="80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ht="15.75" customHeight="1" x14ac:dyDescent="0.25">
      <c r="A55" s="62"/>
      <c r="B55" s="62"/>
      <c r="C55" s="76"/>
      <c r="D55" s="77"/>
      <c r="E55" s="62"/>
      <c r="F55" s="83">
        <f t="shared" si="0"/>
        <v>52</v>
      </c>
      <c r="G55" s="84">
        <f t="shared" si="1"/>
        <v>6099.103400450068</v>
      </c>
      <c r="H55" s="84">
        <f t="shared" si="2"/>
        <v>2919.2671375709474</v>
      </c>
      <c r="I55" s="84">
        <f t="shared" si="3"/>
        <v>3179.8362628791206</v>
      </c>
      <c r="J55" s="84">
        <f t="shared" si="4"/>
        <v>1374068.3897711756</v>
      </c>
      <c r="K55" s="80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15.75" customHeight="1" x14ac:dyDescent="0.25">
      <c r="A56" s="62"/>
      <c r="B56" s="62"/>
      <c r="C56" s="76"/>
      <c r="D56" s="77"/>
      <c r="E56" s="62"/>
      <c r="F56" s="83">
        <f t="shared" si="0"/>
        <v>53</v>
      </c>
      <c r="G56" s="84">
        <f t="shared" si="1"/>
        <v>6099.103400450068</v>
      </c>
      <c r="H56" s="84">
        <f t="shared" si="2"/>
        <v>2912.6424786899493</v>
      </c>
      <c r="I56" s="84">
        <f t="shared" si="3"/>
        <v>3186.4609217601187</v>
      </c>
      <c r="J56" s="84">
        <f t="shared" si="4"/>
        <v>1370881.9288494154</v>
      </c>
      <c r="K56" s="80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ht="15.75" customHeight="1" x14ac:dyDescent="0.25">
      <c r="A57" s="62"/>
      <c r="B57" s="62"/>
      <c r="C57" s="76"/>
      <c r="D57" s="77"/>
      <c r="E57" s="62"/>
      <c r="F57" s="83">
        <f t="shared" si="0"/>
        <v>54</v>
      </c>
      <c r="G57" s="84">
        <f t="shared" si="1"/>
        <v>6099.103400450068</v>
      </c>
      <c r="H57" s="84">
        <f t="shared" si="2"/>
        <v>2906.0040184362824</v>
      </c>
      <c r="I57" s="84">
        <f t="shared" si="3"/>
        <v>3193.0993820137855</v>
      </c>
      <c r="J57" s="84">
        <f t="shared" si="4"/>
        <v>1367688.8294674016</v>
      </c>
      <c r="K57" s="80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15.75" customHeight="1" x14ac:dyDescent="0.25">
      <c r="A58" s="62"/>
      <c r="B58" s="62"/>
      <c r="C58" s="76"/>
      <c r="D58" s="77"/>
      <c r="E58" s="62"/>
      <c r="F58" s="83">
        <f t="shared" si="0"/>
        <v>55</v>
      </c>
      <c r="G58" s="84">
        <f t="shared" si="1"/>
        <v>6099.103400450068</v>
      </c>
      <c r="H58" s="84">
        <f t="shared" si="2"/>
        <v>2899.3517280570868</v>
      </c>
      <c r="I58" s="84">
        <f t="shared" si="3"/>
        <v>3199.7516723929812</v>
      </c>
      <c r="J58" s="84">
        <f t="shared" si="4"/>
        <v>1364489.0777950087</v>
      </c>
      <c r="K58" s="80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ht="15.75" customHeight="1" x14ac:dyDescent="0.25">
      <c r="A59" s="62"/>
      <c r="B59" s="62"/>
      <c r="C59" s="76"/>
      <c r="D59" s="77"/>
      <c r="E59" s="62"/>
      <c r="F59" s="83">
        <f t="shared" si="0"/>
        <v>56</v>
      </c>
      <c r="G59" s="84">
        <f t="shared" si="1"/>
        <v>6099.103400450068</v>
      </c>
      <c r="H59" s="84">
        <f t="shared" si="2"/>
        <v>2892.6855787396016</v>
      </c>
      <c r="I59" s="84">
        <f t="shared" si="3"/>
        <v>3206.4178217104663</v>
      </c>
      <c r="J59" s="84">
        <f t="shared" si="4"/>
        <v>1361282.6599732982</v>
      </c>
      <c r="K59" s="80"/>
      <c r="L59" s="62"/>
      <c r="M59" s="62"/>
      <c r="N59" s="76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15.75" customHeight="1" x14ac:dyDescent="0.25">
      <c r="A60" s="62"/>
      <c r="B60" s="62"/>
      <c r="C60" s="76"/>
      <c r="D60" s="77"/>
      <c r="E60" s="62"/>
      <c r="F60" s="83">
        <f t="shared" si="0"/>
        <v>57</v>
      </c>
      <c r="G60" s="84">
        <f t="shared" si="1"/>
        <v>6099.103400450068</v>
      </c>
      <c r="H60" s="84">
        <f t="shared" si="2"/>
        <v>2886.0055416110376</v>
      </c>
      <c r="I60" s="84">
        <f t="shared" si="3"/>
        <v>3213.0978588390303</v>
      </c>
      <c r="J60" s="84">
        <f t="shared" si="4"/>
        <v>1358069.5621144592</v>
      </c>
      <c r="K60" s="80"/>
      <c r="L60" s="62"/>
      <c r="M60" s="62"/>
      <c r="N60" s="76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ht="15.75" customHeight="1" x14ac:dyDescent="0.25">
      <c r="A61" s="62"/>
      <c r="B61" s="62"/>
      <c r="C61" s="76"/>
      <c r="D61" s="77"/>
      <c r="E61" s="62"/>
      <c r="F61" s="83">
        <f t="shared" si="0"/>
        <v>58</v>
      </c>
      <c r="G61" s="84">
        <f t="shared" si="1"/>
        <v>6099.103400450068</v>
      </c>
      <c r="H61" s="84">
        <f t="shared" si="2"/>
        <v>2879.3115877384571</v>
      </c>
      <c r="I61" s="84">
        <f t="shared" si="3"/>
        <v>3219.7918127116109</v>
      </c>
      <c r="J61" s="84">
        <f t="shared" si="4"/>
        <v>1354849.7703017476</v>
      </c>
      <c r="K61" s="80"/>
      <c r="L61" s="62"/>
      <c r="M61" s="62"/>
      <c r="N61" s="76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ht="15.75" customHeight="1" x14ac:dyDescent="0.25">
      <c r="A62" s="62"/>
      <c r="B62" s="62"/>
      <c r="C62" s="76"/>
      <c r="D62" s="77"/>
      <c r="E62" s="62"/>
      <c r="F62" s="83">
        <f t="shared" si="0"/>
        <v>59</v>
      </c>
      <c r="G62" s="84">
        <f t="shared" si="1"/>
        <v>6099.103400450068</v>
      </c>
      <c r="H62" s="84">
        <f t="shared" si="2"/>
        <v>2872.6036881286414</v>
      </c>
      <c r="I62" s="84">
        <f t="shared" si="3"/>
        <v>3226.4997123214266</v>
      </c>
      <c r="J62" s="84">
        <f t="shared" si="4"/>
        <v>1351623.2705894262</v>
      </c>
      <c r="K62" s="80"/>
      <c r="L62" s="62"/>
      <c r="M62" s="62"/>
      <c r="N62" s="76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ht="15.75" customHeight="1" x14ac:dyDescent="0.25">
      <c r="A63" s="62"/>
      <c r="B63" s="62"/>
      <c r="C63" s="76"/>
      <c r="D63" s="77"/>
      <c r="E63" s="62"/>
      <c r="F63" s="83">
        <f t="shared" si="0"/>
        <v>60</v>
      </c>
      <c r="G63" s="84">
        <f t="shared" si="1"/>
        <v>6099.103400450068</v>
      </c>
      <c r="H63" s="84">
        <f t="shared" si="2"/>
        <v>2865.8818137279709</v>
      </c>
      <c r="I63" s="84">
        <f t="shared" si="3"/>
        <v>3233.2215867220971</v>
      </c>
      <c r="J63" s="84">
        <f t="shared" si="4"/>
        <v>1348390.049002704</v>
      </c>
      <c r="K63" s="80"/>
      <c r="L63" s="76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15.75" customHeight="1" x14ac:dyDescent="0.25">
      <c r="A64" s="62"/>
      <c r="B64" s="62"/>
      <c r="C64" s="76"/>
      <c r="D64" s="77"/>
      <c r="E64" s="62"/>
      <c r="F64" s="83">
        <f t="shared" si="0"/>
        <v>61</v>
      </c>
      <c r="G64" s="84">
        <f t="shared" si="1"/>
        <v>6099.103400450068</v>
      </c>
      <c r="H64" s="84">
        <f t="shared" si="2"/>
        <v>2859.1459354223002</v>
      </c>
      <c r="I64" s="84">
        <f t="shared" si="3"/>
        <v>3239.9574650277677</v>
      </c>
      <c r="J64" s="84">
        <f t="shared" si="4"/>
        <v>1345150.0915376763</v>
      </c>
      <c r="K64" s="80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ht="15.75" customHeight="1" x14ac:dyDescent="0.25">
      <c r="A65" s="62"/>
      <c r="B65" s="62"/>
      <c r="C65" s="76"/>
      <c r="D65" s="77"/>
      <c r="E65" s="62"/>
      <c r="F65" s="83">
        <f t="shared" si="0"/>
        <v>62</v>
      </c>
      <c r="G65" s="84">
        <f t="shared" si="1"/>
        <v>6099.103400450068</v>
      </c>
      <c r="H65" s="84">
        <f t="shared" si="2"/>
        <v>2852.3960240368256</v>
      </c>
      <c r="I65" s="84">
        <f t="shared" si="3"/>
        <v>3246.7073764132424</v>
      </c>
      <c r="J65" s="84">
        <f t="shared" si="4"/>
        <v>1341903.384161263</v>
      </c>
      <c r="K65" s="80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15.75" customHeight="1" x14ac:dyDescent="0.25">
      <c r="A66" s="62"/>
      <c r="B66" s="62"/>
      <c r="C66" s="76"/>
      <c r="D66" s="77"/>
      <c r="E66" s="62"/>
      <c r="F66" s="83">
        <f t="shared" si="0"/>
        <v>63</v>
      </c>
      <c r="G66" s="84">
        <f t="shared" si="1"/>
        <v>6099.103400450068</v>
      </c>
      <c r="H66" s="84">
        <f t="shared" si="2"/>
        <v>2845.6320503359643</v>
      </c>
      <c r="I66" s="84">
        <f t="shared" si="3"/>
        <v>3253.4713501141036</v>
      </c>
      <c r="J66" s="84">
        <f t="shared" si="4"/>
        <v>1338649.9128111489</v>
      </c>
      <c r="K66" s="80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ht="15.75" customHeight="1" x14ac:dyDescent="0.25">
      <c r="A67" s="62"/>
      <c r="B67" s="62"/>
      <c r="C67" s="76"/>
      <c r="D67" s="77"/>
      <c r="E67" s="62"/>
      <c r="F67" s="83">
        <f t="shared" si="0"/>
        <v>64</v>
      </c>
      <c r="G67" s="84">
        <f t="shared" si="1"/>
        <v>6099.103400450068</v>
      </c>
      <c r="H67" s="84">
        <f t="shared" si="2"/>
        <v>2838.8539850232269</v>
      </c>
      <c r="I67" s="84">
        <f t="shared" si="3"/>
        <v>3260.2494154268411</v>
      </c>
      <c r="J67" s="84">
        <f t="shared" si="4"/>
        <v>1335389.6633957222</v>
      </c>
      <c r="K67" s="80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15.75" customHeight="1" x14ac:dyDescent="0.25">
      <c r="A68" s="62"/>
      <c r="B68" s="62"/>
      <c r="C68" s="76"/>
      <c r="D68" s="77"/>
      <c r="E68" s="62"/>
      <c r="F68" s="83">
        <f t="shared" si="0"/>
        <v>65</v>
      </c>
      <c r="G68" s="84">
        <f t="shared" si="1"/>
        <v>6099.103400450068</v>
      </c>
      <c r="H68" s="84">
        <f t="shared" si="2"/>
        <v>2832.0617987410878</v>
      </c>
      <c r="I68" s="84">
        <f t="shared" si="3"/>
        <v>3267.0416017089801</v>
      </c>
      <c r="J68" s="84">
        <f t="shared" si="4"/>
        <v>1332122.6217940131</v>
      </c>
      <c r="K68" s="80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ht="15.75" customHeight="1" x14ac:dyDescent="0.25">
      <c r="A69" s="62"/>
      <c r="B69" s="62"/>
      <c r="C69" s="76"/>
      <c r="D69" s="77"/>
      <c r="E69" s="62"/>
      <c r="F69" s="83">
        <f t="shared" si="0"/>
        <v>66</v>
      </c>
      <c r="G69" s="84">
        <f t="shared" si="1"/>
        <v>6099.103400450068</v>
      </c>
      <c r="H69" s="84">
        <f t="shared" si="2"/>
        <v>2825.2554620708611</v>
      </c>
      <c r="I69" s="84">
        <f t="shared" si="3"/>
        <v>3273.8479383792069</v>
      </c>
      <c r="J69" s="84">
        <f t="shared" si="4"/>
        <v>1328848.7738556338</v>
      </c>
      <c r="K69" s="80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15.75" customHeight="1" x14ac:dyDescent="0.25">
      <c r="A70" s="62"/>
      <c r="B70" s="62"/>
      <c r="C70" s="76"/>
      <c r="D70" s="77"/>
      <c r="E70" s="62"/>
      <c r="F70" s="83">
        <f t="shared" si="0"/>
        <v>67</v>
      </c>
      <c r="G70" s="84">
        <f t="shared" si="1"/>
        <v>6099.103400450068</v>
      </c>
      <c r="H70" s="84">
        <f t="shared" si="2"/>
        <v>2818.4349455325705</v>
      </c>
      <c r="I70" s="84">
        <f t="shared" si="3"/>
        <v>3280.6684549174975</v>
      </c>
      <c r="J70" s="84">
        <f t="shared" si="4"/>
        <v>1325568.1054007162</v>
      </c>
      <c r="K70" s="80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ht="15.75" customHeight="1" x14ac:dyDescent="0.25">
      <c r="A71" s="62"/>
      <c r="B71" s="62"/>
      <c r="C71" s="76"/>
      <c r="D71" s="77"/>
      <c r="E71" s="62"/>
      <c r="F71" s="83">
        <f t="shared" si="0"/>
        <v>68</v>
      </c>
      <c r="G71" s="84">
        <f t="shared" si="1"/>
        <v>6099.103400450068</v>
      </c>
      <c r="H71" s="84">
        <f t="shared" si="2"/>
        <v>2811.6002195848255</v>
      </c>
      <c r="I71" s="84">
        <f t="shared" si="3"/>
        <v>3287.5031808652425</v>
      </c>
      <c r="J71" s="84">
        <f t="shared" si="4"/>
        <v>1322280.602219851</v>
      </c>
      <c r="K71" s="80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15.75" customHeight="1" x14ac:dyDescent="0.25">
      <c r="A72" s="62"/>
      <c r="B72" s="62"/>
      <c r="C72" s="76"/>
      <c r="D72" s="77"/>
      <c r="E72" s="62"/>
      <c r="F72" s="83">
        <f t="shared" si="0"/>
        <v>69</v>
      </c>
      <c r="G72" s="84">
        <f t="shared" si="1"/>
        <v>6099.103400450068</v>
      </c>
      <c r="H72" s="84">
        <f t="shared" si="2"/>
        <v>2804.7512546246894</v>
      </c>
      <c r="I72" s="84">
        <f t="shared" si="3"/>
        <v>3294.3521458253786</v>
      </c>
      <c r="J72" s="84">
        <f t="shared" si="4"/>
        <v>1318986.2500740257</v>
      </c>
      <c r="K72" s="80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ht="15.75" customHeight="1" x14ac:dyDescent="0.25">
      <c r="A73" s="62"/>
      <c r="B73" s="62"/>
      <c r="C73" s="76"/>
      <c r="D73" s="77"/>
      <c r="E73" s="62"/>
      <c r="F73" s="83">
        <f t="shared" si="0"/>
        <v>70</v>
      </c>
      <c r="G73" s="84">
        <f t="shared" si="1"/>
        <v>6099.103400450068</v>
      </c>
      <c r="H73" s="84">
        <f t="shared" si="2"/>
        <v>2797.8880209875538</v>
      </c>
      <c r="I73" s="84">
        <f t="shared" si="3"/>
        <v>3301.2153794625142</v>
      </c>
      <c r="J73" s="84">
        <f t="shared" si="4"/>
        <v>1315685.0346945631</v>
      </c>
      <c r="K73" s="80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15.75" customHeight="1" x14ac:dyDescent="0.25">
      <c r="A74" s="62"/>
      <c r="B74" s="62"/>
      <c r="C74" s="76"/>
      <c r="D74" s="77"/>
      <c r="E74" s="62"/>
      <c r="F74" s="83">
        <f t="shared" si="0"/>
        <v>71</v>
      </c>
      <c r="G74" s="84">
        <f t="shared" si="1"/>
        <v>6099.103400450068</v>
      </c>
      <c r="H74" s="84">
        <f t="shared" si="2"/>
        <v>2791.0104889470063</v>
      </c>
      <c r="I74" s="84">
        <f t="shared" si="3"/>
        <v>3308.0929115030617</v>
      </c>
      <c r="J74" s="84">
        <f t="shared" si="4"/>
        <v>1312376.9417830601</v>
      </c>
      <c r="K74" s="80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ht="15.75" customHeight="1" x14ac:dyDescent="0.25">
      <c r="A75" s="62"/>
      <c r="B75" s="62"/>
      <c r="C75" s="76"/>
      <c r="D75" s="77"/>
      <c r="E75" s="62"/>
      <c r="F75" s="83">
        <f t="shared" si="0"/>
        <v>72</v>
      </c>
      <c r="G75" s="84">
        <f t="shared" si="1"/>
        <v>6099.103400450068</v>
      </c>
      <c r="H75" s="84">
        <f t="shared" si="2"/>
        <v>2784.1186287147084</v>
      </c>
      <c r="I75" s="84">
        <f t="shared" si="3"/>
        <v>3314.9847717353596</v>
      </c>
      <c r="J75" s="84">
        <f t="shared" si="4"/>
        <v>1309061.9570113248</v>
      </c>
      <c r="K75" s="80"/>
      <c r="L75" s="76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15.75" customHeight="1" x14ac:dyDescent="0.25">
      <c r="A76" s="62"/>
      <c r="B76" s="62"/>
      <c r="C76" s="76"/>
      <c r="D76" s="77"/>
      <c r="E76" s="62"/>
      <c r="F76" s="83">
        <f t="shared" si="0"/>
        <v>73</v>
      </c>
      <c r="G76" s="84">
        <f t="shared" si="1"/>
        <v>6099.103400450068</v>
      </c>
      <c r="H76" s="84">
        <f t="shared" si="2"/>
        <v>2777.2124104402601</v>
      </c>
      <c r="I76" s="84">
        <f t="shared" si="3"/>
        <v>3321.8909900098079</v>
      </c>
      <c r="J76" s="84">
        <f t="shared" si="4"/>
        <v>1305740.0660213151</v>
      </c>
      <c r="K76" s="80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ht="15.75" customHeight="1" x14ac:dyDescent="0.25">
      <c r="A77" s="62"/>
      <c r="B77" s="62"/>
      <c r="C77" s="76"/>
      <c r="D77" s="77"/>
      <c r="E77" s="62"/>
      <c r="F77" s="83">
        <f t="shared" si="0"/>
        <v>74</v>
      </c>
      <c r="G77" s="84">
        <f t="shared" si="1"/>
        <v>6099.103400450068</v>
      </c>
      <c r="H77" s="84">
        <f t="shared" si="2"/>
        <v>2770.2918042110732</v>
      </c>
      <c r="I77" s="84">
        <f t="shared" si="3"/>
        <v>3328.8115962389948</v>
      </c>
      <c r="J77" s="84">
        <f t="shared" si="4"/>
        <v>1302411.2544250761</v>
      </c>
      <c r="K77" s="80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15.75" customHeight="1" x14ac:dyDescent="0.25">
      <c r="A78" s="62"/>
      <c r="B78" s="62"/>
      <c r="C78" s="76"/>
      <c r="D78" s="77"/>
      <c r="E78" s="62"/>
      <c r="F78" s="83">
        <f t="shared" si="0"/>
        <v>75</v>
      </c>
      <c r="G78" s="84">
        <f t="shared" si="1"/>
        <v>6099.103400450068</v>
      </c>
      <c r="H78" s="84">
        <f t="shared" si="2"/>
        <v>2763.3567800522419</v>
      </c>
      <c r="I78" s="84">
        <f t="shared" si="3"/>
        <v>3335.7466203978261</v>
      </c>
      <c r="J78" s="84">
        <f t="shared" si="4"/>
        <v>1299075.5078046783</v>
      </c>
      <c r="K78" s="80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ht="15.75" customHeight="1" x14ac:dyDescent="0.25">
      <c r="A79" s="62"/>
      <c r="B79" s="62"/>
      <c r="C79" s="76"/>
      <c r="D79" s="77"/>
      <c r="E79" s="62"/>
      <c r="F79" s="83">
        <f t="shared" si="0"/>
        <v>76</v>
      </c>
      <c r="G79" s="84">
        <f t="shared" si="1"/>
        <v>6099.103400450068</v>
      </c>
      <c r="H79" s="84">
        <f t="shared" si="2"/>
        <v>2756.4073079264131</v>
      </c>
      <c r="I79" s="84">
        <f t="shared" si="3"/>
        <v>3342.6960925236549</v>
      </c>
      <c r="J79" s="84">
        <f t="shared" si="4"/>
        <v>1295732.8117121547</v>
      </c>
      <c r="K79" s="80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ht="15.75" customHeight="1" x14ac:dyDescent="0.25">
      <c r="A80" s="62"/>
      <c r="B80" s="62"/>
      <c r="C80" s="76"/>
      <c r="D80" s="77"/>
      <c r="E80" s="62"/>
      <c r="F80" s="83">
        <f t="shared" si="0"/>
        <v>77</v>
      </c>
      <c r="G80" s="84">
        <f t="shared" si="1"/>
        <v>6099.103400450068</v>
      </c>
      <c r="H80" s="84">
        <f t="shared" si="2"/>
        <v>2749.4433577336554</v>
      </c>
      <c r="I80" s="84">
        <f t="shared" si="3"/>
        <v>3349.6600427164126</v>
      </c>
      <c r="J80" s="84">
        <f t="shared" si="4"/>
        <v>1292383.1516694382</v>
      </c>
      <c r="K80" s="80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ht="15.75" customHeight="1" x14ac:dyDescent="0.25">
      <c r="A81" s="62"/>
      <c r="B81" s="62"/>
      <c r="C81" s="76"/>
      <c r="D81" s="77"/>
      <c r="E81" s="62"/>
      <c r="F81" s="83">
        <f t="shared" si="0"/>
        <v>78</v>
      </c>
      <c r="G81" s="84">
        <f t="shared" si="1"/>
        <v>6099.103400450068</v>
      </c>
      <c r="H81" s="84">
        <f t="shared" si="2"/>
        <v>2742.4648993113296</v>
      </c>
      <c r="I81" s="84">
        <f t="shared" si="3"/>
        <v>3356.6385011387383</v>
      </c>
      <c r="J81" s="84">
        <f t="shared" si="4"/>
        <v>1289026.5131682996</v>
      </c>
      <c r="K81" s="80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5.75" customHeight="1" x14ac:dyDescent="0.25">
      <c r="A82" s="62"/>
      <c r="B82" s="62"/>
      <c r="C82" s="76"/>
      <c r="D82" s="77"/>
      <c r="E82" s="62"/>
      <c r="F82" s="83">
        <f t="shared" si="0"/>
        <v>79</v>
      </c>
      <c r="G82" s="84">
        <f t="shared" si="1"/>
        <v>6099.103400450068</v>
      </c>
      <c r="H82" s="84">
        <f t="shared" si="2"/>
        <v>2735.4719024339574</v>
      </c>
      <c r="I82" s="84">
        <f t="shared" si="3"/>
        <v>3363.6314980161105</v>
      </c>
      <c r="J82" s="84">
        <f t="shared" si="4"/>
        <v>1285662.8816702834</v>
      </c>
      <c r="K82" s="80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ht="15.75" customHeight="1" x14ac:dyDescent="0.25">
      <c r="A83" s="62"/>
      <c r="B83" s="62"/>
      <c r="C83" s="76"/>
      <c r="D83" s="77"/>
      <c r="E83" s="62"/>
      <c r="F83" s="83">
        <f t="shared" si="0"/>
        <v>80</v>
      </c>
      <c r="G83" s="84">
        <f t="shared" si="1"/>
        <v>6099.103400450068</v>
      </c>
      <c r="H83" s="84">
        <f t="shared" si="2"/>
        <v>2728.4643368130905</v>
      </c>
      <c r="I83" s="84">
        <f t="shared" si="3"/>
        <v>3370.6390636369774</v>
      </c>
      <c r="J83" s="84">
        <f t="shared" si="4"/>
        <v>1282292.2426066464</v>
      </c>
      <c r="K83" s="80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15.75" customHeight="1" x14ac:dyDescent="0.25">
      <c r="A84" s="62"/>
      <c r="B84" s="62"/>
      <c r="C84" s="76"/>
      <c r="D84" s="77"/>
      <c r="E84" s="62"/>
      <c r="F84" s="83">
        <f t="shared" si="0"/>
        <v>81</v>
      </c>
      <c r="G84" s="84">
        <f t="shared" si="1"/>
        <v>6099.103400450068</v>
      </c>
      <c r="H84" s="84">
        <f t="shared" si="2"/>
        <v>2721.44217209718</v>
      </c>
      <c r="I84" s="84">
        <f t="shared" si="3"/>
        <v>3377.661228352888</v>
      </c>
      <c r="J84" s="84">
        <f t="shared" si="4"/>
        <v>1278914.5813782935</v>
      </c>
      <c r="K84" s="80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ht="15.75" customHeight="1" x14ac:dyDescent="0.25">
      <c r="A85" s="62"/>
      <c r="B85" s="62"/>
      <c r="C85" s="76"/>
      <c r="D85" s="77"/>
      <c r="E85" s="62"/>
      <c r="F85" s="83">
        <f t="shared" si="0"/>
        <v>82</v>
      </c>
      <c r="G85" s="84">
        <f t="shared" si="1"/>
        <v>6099.103400450068</v>
      </c>
      <c r="H85" s="84">
        <f t="shared" si="2"/>
        <v>2714.4053778714447</v>
      </c>
      <c r="I85" s="84">
        <f t="shared" si="3"/>
        <v>3384.6980225786233</v>
      </c>
      <c r="J85" s="84">
        <f t="shared" si="4"/>
        <v>1275529.8833557148</v>
      </c>
      <c r="K85" s="80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5.75" customHeight="1" x14ac:dyDescent="0.25">
      <c r="A86" s="62"/>
      <c r="B86" s="62"/>
      <c r="C86" s="76"/>
      <c r="D86" s="77"/>
      <c r="E86" s="62"/>
      <c r="F86" s="83">
        <f t="shared" si="0"/>
        <v>83</v>
      </c>
      <c r="G86" s="84">
        <f t="shared" si="1"/>
        <v>6099.103400450068</v>
      </c>
      <c r="H86" s="84">
        <f t="shared" si="2"/>
        <v>2707.3539236577394</v>
      </c>
      <c r="I86" s="84">
        <f t="shared" si="3"/>
        <v>3391.7494767923286</v>
      </c>
      <c r="J86" s="84">
        <f t="shared" si="4"/>
        <v>1272138.1338789226</v>
      </c>
      <c r="K86" s="80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ht="15.75" customHeight="1" x14ac:dyDescent="0.25">
      <c r="A87" s="62"/>
      <c r="B87" s="62"/>
      <c r="C87" s="76"/>
      <c r="D87" s="77"/>
      <c r="E87" s="62"/>
      <c r="F87" s="83">
        <f t="shared" si="0"/>
        <v>84</v>
      </c>
      <c r="G87" s="84">
        <f t="shared" si="1"/>
        <v>6099.103400450068</v>
      </c>
      <c r="H87" s="84">
        <f t="shared" si="2"/>
        <v>2700.2877789144222</v>
      </c>
      <c r="I87" s="84">
        <f t="shared" si="3"/>
        <v>3398.8156215356457</v>
      </c>
      <c r="J87" s="84">
        <f t="shared" si="4"/>
        <v>1268739.3182573868</v>
      </c>
      <c r="K87" s="80"/>
      <c r="L87" s="76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15.75" customHeight="1" x14ac:dyDescent="0.25">
      <c r="A88" s="62"/>
      <c r="B88" s="62"/>
      <c r="C88" s="76"/>
      <c r="D88" s="77"/>
      <c r="E88" s="62"/>
      <c r="F88" s="83">
        <f t="shared" si="0"/>
        <v>85</v>
      </c>
      <c r="G88" s="84">
        <f t="shared" si="1"/>
        <v>6099.103400450068</v>
      </c>
      <c r="H88" s="84">
        <f t="shared" si="2"/>
        <v>2693.2069130362229</v>
      </c>
      <c r="I88" s="84">
        <f t="shared" si="3"/>
        <v>3405.8964874138451</v>
      </c>
      <c r="J88" s="84">
        <f t="shared" si="4"/>
        <v>1265333.4217699729</v>
      </c>
      <c r="K88" s="80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ht="15.75" customHeight="1" x14ac:dyDescent="0.25">
      <c r="A89" s="62"/>
      <c r="B89" s="62"/>
      <c r="C89" s="76"/>
      <c r="D89" s="77"/>
      <c r="E89" s="62"/>
      <c r="F89" s="83">
        <f t="shared" si="0"/>
        <v>86</v>
      </c>
      <c r="G89" s="84">
        <f t="shared" si="1"/>
        <v>6099.103400450068</v>
      </c>
      <c r="H89" s="84">
        <f t="shared" si="2"/>
        <v>2686.1112953541101</v>
      </c>
      <c r="I89" s="84">
        <f t="shared" si="3"/>
        <v>3412.9921050959579</v>
      </c>
      <c r="J89" s="84">
        <f t="shared" si="4"/>
        <v>1261920.429664877</v>
      </c>
      <c r="K89" s="80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15.75" customHeight="1" x14ac:dyDescent="0.25">
      <c r="A90" s="62"/>
      <c r="B90" s="62"/>
      <c r="C90" s="76"/>
      <c r="D90" s="77"/>
      <c r="E90" s="62"/>
      <c r="F90" s="83">
        <f t="shared" si="0"/>
        <v>87</v>
      </c>
      <c r="G90" s="84">
        <f t="shared" si="1"/>
        <v>6099.103400450068</v>
      </c>
      <c r="H90" s="84">
        <f t="shared" si="2"/>
        <v>2679.0008951351606</v>
      </c>
      <c r="I90" s="84">
        <f t="shared" si="3"/>
        <v>3420.1025053149074</v>
      </c>
      <c r="J90" s="84">
        <f t="shared" si="4"/>
        <v>1258500.3271595621</v>
      </c>
      <c r="K90" s="80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ht="15.75" customHeight="1" x14ac:dyDescent="0.25">
      <c r="A91" s="62"/>
      <c r="B91" s="62"/>
      <c r="C91" s="76"/>
      <c r="D91" s="77"/>
      <c r="E91" s="62"/>
      <c r="F91" s="83">
        <f t="shared" si="0"/>
        <v>88</v>
      </c>
      <c r="G91" s="84">
        <f t="shared" si="1"/>
        <v>6099.103400450068</v>
      </c>
      <c r="H91" s="84">
        <f t="shared" si="2"/>
        <v>2671.8756815824213</v>
      </c>
      <c r="I91" s="84">
        <f t="shared" si="3"/>
        <v>3427.2277188676467</v>
      </c>
      <c r="J91" s="84">
        <f t="shared" si="4"/>
        <v>1255073.0994406946</v>
      </c>
      <c r="K91" s="80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15.75" customHeight="1" x14ac:dyDescent="0.25">
      <c r="A92" s="62"/>
      <c r="B92" s="62"/>
      <c r="C92" s="76"/>
      <c r="D92" s="77"/>
      <c r="E92" s="62"/>
      <c r="F92" s="83">
        <f t="shared" si="0"/>
        <v>89</v>
      </c>
      <c r="G92" s="84">
        <f t="shared" si="1"/>
        <v>6099.103400450068</v>
      </c>
      <c r="H92" s="84">
        <f t="shared" si="2"/>
        <v>2664.7356238347807</v>
      </c>
      <c r="I92" s="84">
        <f t="shared" si="3"/>
        <v>3434.3677766152873</v>
      </c>
      <c r="J92" s="84">
        <f t="shared" si="4"/>
        <v>1251638.7316640792</v>
      </c>
      <c r="K92" s="80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ht="15.75" customHeight="1" x14ac:dyDescent="0.25">
      <c r="A93" s="62"/>
      <c r="B93" s="62"/>
      <c r="C93" s="76"/>
      <c r="D93" s="77"/>
      <c r="E93" s="62"/>
      <c r="F93" s="83">
        <f t="shared" si="0"/>
        <v>90</v>
      </c>
      <c r="G93" s="84">
        <f t="shared" si="1"/>
        <v>6099.103400450068</v>
      </c>
      <c r="H93" s="84">
        <f t="shared" si="2"/>
        <v>2657.5806909668318</v>
      </c>
      <c r="I93" s="84">
        <f t="shared" si="3"/>
        <v>3441.5227094832362</v>
      </c>
      <c r="J93" s="84">
        <f t="shared" si="4"/>
        <v>1248197.208954596</v>
      </c>
      <c r="K93" s="80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15.75" customHeight="1" x14ac:dyDescent="0.25">
      <c r="A94" s="62"/>
      <c r="B94" s="62"/>
      <c r="C94" s="76"/>
      <c r="D94" s="77"/>
      <c r="E94" s="62"/>
      <c r="F94" s="83">
        <f t="shared" si="0"/>
        <v>91</v>
      </c>
      <c r="G94" s="84">
        <f t="shared" si="1"/>
        <v>6099.103400450068</v>
      </c>
      <c r="H94" s="84">
        <f t="shared" si="2"/>
        <v>2650.4108519887418</v>
      </c>
      <c r="I94" s="84">
        <f t="shared" si="3"/>
        <v>3448.6925484613262</v>
      </c>
      <c r="J94" s="84">
        <f t="shared" si="4"/>
        <v>1244748.5164061347</v>
      </c>
      <c r="K94" s="80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ht="15.75" customHeight="1" x14ac:dyDescent="0.25">
      <c r="A95" s="62"/>
      <c r="B95" s="62"/>
      <c r="C95" s="76"/>
      <c r="D95" s="77"/>
      <c r="E95" s="62"/>
      <c r="F95" s="83">
        <f t="shared" si="0"/>
        <v>92</v>
      </c>
      <c r="G95" s="84">
        <f t="shared" si="1"/>
        <v>6099.103400450068</v>
      </c>
      <c r="H95" s="84">
        <f t="shared" si="2"/>
        <v>2643.2260758461139</v>
      </c>
      <c r="I95" s="84">
        <f t="shared" si="3"/>
        <v>3455.8773246039541</v>
      </c>
      <c r="J95" s="84">
        <f t="shared" si="4"/>
        <v>1241292.6390815307</v>
      </c>
      <c r="K95" s="80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15.75" customHeight="1" x14ac:dyDescent="0.25">
      <c r="A96" s="62"/>
      <c r="B96" s="62"/>
      <c r="C96" s="76"/>
      <c r="D96" s="77"/>
      <c r="E96" s="62"/>
      <c r="F96" s="83">
        <f t="shared" si="0"/>
        <v>93</v>
      </c>
      <c r="G96" s="84">
        <f t="shared" si="1"/>
        <v>6099.103400450068</v>
      </c>
      <c r="H96" s="84">
        <f t="shared" si="2"/>
        <v>2636.026331419856</v>
      </c>
      <c r="I96" s="84">
        <f t="shared" si="3"/>
        <v>3463.077069030212</v>
      </c>
      <c r="J96" s="84">
        <f t="shared" si="4"/>
        <v>1237829.5620125006</v>
      </c>
      <c r="K96" s="80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ht="15.75" customHeight="1" x14ac:dyDescent="0.25">
      <c r="A97" s="62"/>
      <c r="B97" s="62"/>
      <c r="C97" s="76"/>
      <c r="D97" s="77"/>
      <c r="E97" s="62"/>
      <c r="F97" s="83">
        <f t="shared" si="0"/>
        <v>94</v>
      </c>
      <c r="G97" s="84">
        <f t="shared" si="1"/>
        <v>6099.103400450068</v>
      </c>
      <c r="H97" s="84">
        <f t="shared" si="2"/>
        <v>2628.8115875260432</v>
      </c>
      <c r="I97" s="84">
        <f t="shared" si="3"/>
        <v>3470.2918129240247</v>
      </c>
      <c r="J97" s="84">
        <f t="shared" si="4"/>
        <v>1234359.2701995766</v>
      </c>
      <c r="K97" s="80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ht="15.75" customHeight="1" x14ac:dyDescent="0.25">
      <c r="A98" s="62"/>
      <c r="B98" s="62"/>
      <c r="C98" s="76"/>
      <c r="D98" s="77"/>
      <c r="E98" s="62"/>
      <c r="F98" s="83">
        <f t="shared" si="0"/>
        <v>95</v>
      </c>
      <c r="G98" s="84">
        <f t="shared" si="1"/>
        <v>6099.103400450068</v>
      </c>
      <c r="H98" s="84">
        <f t="shared" si="2"/>
        <v>2621.5818129157847</v>
      </c>
      <c r="I98" s="84">
        <f t="shared" si="3"/>
        <v>3477.5215875342833</v>
      </c>
      <c r="J98" s="84">
        <f t="shared" si="4"/>
        <v>1230881.7486120423</v>
      </c>
      <c r="K98" s="80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ht="15.75" customHeight="1" x14ac:dyDescent="0.25">
      <c r="A99" s="62"/>
      <c r="B99" s="62"/>
      <c r="C99" s="76"/>
      <c r="D99" s="77"/>
      <c r="E99" s="62"/>
      <c r="F99" s="83">
        <f t="shared" si="0"/>
        <v>96</v>
      </c>
      <c r="G99" s="84">
        <f t="shared" si="1"/>
        <v>6099.103400450068</v>
      </c>
      <c r="H99" s="84">
        <f t="shared" si="2"/>
        <v>2614.3369762750881</v>
      </c>
      <c r="I99" s="84">
        <f t="shared" si="3"/>
        <v>3484.7664241749799</v>
      </c>
      <c r="J99" s="84">
        <f t="shared" si="4"/>
        <v>1227396.9821878674</v>
      </c>
      <c r="K99" s="80"/>
      <c r="L99" s="76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15.75" customHeight="1" x14ac:dyDescent="0.25">
      <c r="A100" s="62"/>
      <c r="B100" s="62"/>
      <c r="C100" s="76"/>
      <c r="D100" s="77"/>
      <c r="E100" s="62"/>
      <c r="F100" s="83">
        <f t="shared" si="0"/>
        <v>97</v>
      </c>
      <c r="G100" s="84">
        <f t="shared" si="1"/>
        <v>6099.103400450068</v>
      </c>
      <c r="H100" s="84">
        <f t="shared" si="2"/>
        <v>2607.0770462247237</v>
      </c>
      <c r="I100" s="84">
        <f t="shared" si="3"/>
        <v>3492.0263542253442</v>
      </c>
      <c r="J100" s="84">
        <f t="shared" si="4"/>
        <v>1223904.955833642</v>
      </c>
      <c r="K100" s="80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ht="15.75" customHeight="1" x14ac:dyDescent="0.25">
      <c r="A101" s="62"/>
      <c r="B101" s="62"/>
      <c r="C101" s="76"/>
      <c r="D101" s="77"/>
      <c r="E101" s="62"/>
      <c r="F101" s="83">
        <f t="shared" si="0"/>
        <v>98</v>
      </c>
      <c r="G101" s="84">
        <f t="shared" si="1"/>
        <v>6099.103400450068</v>
      </c>
      <c r="H101" s="84">
        <f t="shared" si="2"/>
        <v>2599.8019913200878</v>
      </c>
      <c r="I101" s="84">
        <f t="shared" si="3"/>
        <v>3499.3014091299801</v>
      </c>
      <c r="J101" s="84">
        <f t="shared" si="4"/>
        <v>1220405.6544245121</v>
      </c>
      <c r="K101" s="80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15.75" customHeight="1" x14ac:dyDescent="0.25">
      <c r="A102" s="62"/>
      <c r="B102" s="62"/>
      <c r="C102" s="76"/>
      <c r="D102" s="77"/>
      <c r="E102" s="62"/>
      <c r="F102" s="83">
        <f t="shared" si="0"/>
        <v>99</v>
      </c>
      <c r="G102" s="84">
        <f t="shared" si="1"/>
        <v>6099.103400450068</v>
      </c>
      <c r="H102" s="84">
        <f t="shared" si="2"/>
        <v>2592.511780051067</v>
      </c>
      <c r="I102" s="84">
        <f t="shared" si="3"/>
        <v>3506.5916203990009</v>
      </c>
      <c r="J102" s="84">
        <f t="shared" si="4"/>
        <v>1216899.0628041131</v>
      </c>
      <c r="K102" s="80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ht="15.75" customHeight="1" x14ac:dyDescent="0.25">
      <c r="A103" s="62"/>
      <c r="B103" s="62"/>
      <c r="C103" s="76"/>
      <c r="D103" s="77"/>
      <c r="E103" s="62"/>
      <c r="F103" s="83">
        <f t="shared" si="0"/>
        <v>100</v>
      </c>
      <c r="G103" s="84">
        <f t="shared" si="1"/>
        <v>6099.103400450068</v>
      </c>
      <c r="H103" s="84">
        <f t="shared" si="2"/>
        <v>2585.2063808419025</v>
      </c>
      <c r="I103" s="84">
        <f t="shared" si="3"/>
        <v>3513.8970196081655</v>
      </c>
      <c r="J103" s="84">
        <f t="shared" si="4"/>
        <v>1213385.165784505</v>
      </c>
      <c r="K103" s="80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15.75" customHeight="1" x14ac:dyDescent="0.25">
      <c r="A104" s="62"/>
      <c r="B104" s="62"/>
      <c r="C104" s="76"/>
      <c r="D104" s="77"/>
      <c r="E104" s="62"/>
      <c r="F104" s="83">
        <f t="shared" si="0"/>
        <v>101</v>
      </c>
      <c r="G104" s="84">
        <f t="shared" si="1"/>
        <v>6099.103400450068</v>
      </c>
      <c r="H104" s="84">
        <f t="shared" si="2"/>
        <v>2577.8857620510521</v>
      </c>
      <c r="I104" s="84">
        <f t="shared" si="3"/>
        <v>3521.2176383990159</v>
      </c>
      <c r="J104" s="84">
        <f t="shared" si="4"/>
        <v>1209863.948146106</v>
      </c>
      <c r="K104" s="80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ht="15.75" customHeight="1" x14ac:dyDescent="0.25">
      <c r="A105" s="62"/>
      <c r="B105" s="62"/>
      <c r="C105" s="76"/>
      <c r="D105" s="77"/>
      <c r="E105" s="62"/>
      <c r="F105" s="83">
        <f t="shared" si="0"/>
        <v>102</v>
      </c>
      <c r="G105" s="84">
        <f t="shared" si="1"/>
        <v>6099.103400450068</v>
      </c>
      <c r="H105" s="84">
        <f t="shared" si="2"/>
        <v>2570.549891971054</v>
      </c>
      <c r="I105" s="84">
        <f t="shared" si="3"/>
        <v>3528.553508479014</v>
      </c>
      <c r="J105" s="84">
        <f t="shared" si="4"/>
        <v>1206335.3946376271</v>
      </c>
      <c r="K105" s="80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15.75" customHeight="1" x14ac:dyDescent="0.25">
      <c r="A106" s="62"/>
      <c r="B106" s="62"/>
      <c r="C106" s="76"/>
      <c r="D106" s="77"/>
      <c r="E106" s="62"/>
      <c r="F106" s="83">
        <f t="shared" si="0"/>
        <v>103</v>
      </c>
      <c r="G106" s="84">
        <f t="shared" si="1"/>
        <v>6099.103400450068</v>
      </c>
      <c r="H106" s="84">
        <f t="shared" si="2"/>
        <v>2563.1987388283901</v>
      </c>
      <c r="I106" s="84">
        <f t="shared" si="3"/>
        <v>3535.9046616216779</v>
      </c>
      <c r="J106" s="84">
        <f t="shared" si="4"/>
        <v>1202799.4899760054</v>
      </c>
      <c r="K106" s="80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ht="15.75" customHeight="1" x14ac:dyDescent="0.25">
      <c r="A107" s="62"/>
      <c r="B107" s="62"/>
      <c r="C107" s="76"/>
      <c r="D107" s="77"/>
      <c r="E107" s="62"/>
      <c r="F107" s="83">
        <f t="shared" si="0"/>
        <v>104</v>
      </c>
      <c r="G107" s="84">
        <f t="shared" si="1"/>
        <v>6099.103400450068</v>
      </c>
      <c r="H107" s="84">
        <f t="shared" si="2"/>
        <v>2555.8322707833445</v>
      </c>
      <c r="I107" s="84">
        <f t="shared" si="3"/>
        <v>3543.2711296667235</v>
      </c>
      <c r="J107" s="84">
        <f t="shared" si="4"/>
        <v>1199256.2188463386</v>
      </c>
      <c r="K107" s="80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15.75" customHeight="1" x14ac:dyDescent="0.25">
      <c r="A108" s="62"/>
      <c r="B108" s="62"/>
      <c r="C108" s="76"/>
      <c r="D108" s="77"/>
      <c r="E108" s="62"/>
      <c r="F108" s="83">
        <f t="shared" si="0"/>
        <v>105</v>
      </c>
      <c r="G108" s="84">
        <f t="shared" si="1"/>
        <v>6099.103400450068</v>
      </c>
      <c r="H108" s="84">
        <f t="shared" si="2"/>
        <v>2548.4504559298721</v>
      </c>
      <c r="I108" s="84">
        <f t="shared" si="3"/>
        <v>3550.6529445201959</v>
      </c>
      <c r="J108" s="84">
        <f t="shared" si="4"/>
        <v>1195705.5659018185</v>
      </c>
      <c r="K108" s="80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ht="15.75" customHeight="1" x14ac:dyDescent="0.25">
      <c r="A109" s="62"/>
      <c r="B109" s="62"/>
      <c r="C109" s="76"/>
      <c r="D109" s="77"/>
      <c r="E109" s="62"/>
      <c r="F109" s="83">
        <f t="shared" si="0"/>
        <v>106</v>
      </c>
      <c r="G109" s="84">
        <f t="shared" si="1"/>
        <v>6099.103400450068</v>
      </c>
      <c r="H109" s="84">
        <f t="shared" si="2"/>
        <v>2541.0532622954552</v>
      </c>
      <c r="I109" s="84">
        <f t="shared" si="3"/>
        <v>3558.0501381546128</v>
      </c>
      <c r="J109" s="84">
        <f t="shared" si="4"/>
        <v>1192147.5157636639</v>
      </c>
      <c r="K109" s="80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15.75" customHeight="1" x14ac:dyDescent="0.25">
      <c r="A110" s="62"/>
      <c r="B110" s="62"/>
      <c r="C110" s="76"/>
      <c r="D110" s="77"/>
      <c r="E110" s="62"/>
      <c r="F110" s="83">
        <f t="shared" si="0"/>
        <v>107</v>
      </c>
      <c r="G110" s="84">
        <f t="shared" si="1"/>
        <v>6099.103400450068</v>
      </c>
      <c r="H110" s="84">
        <f t="shared" si="2"/>
        <v>2533.6406578409665</v>
      </c>
      <c r="I110" s="84">
        <f t="shared" si="3"/>
        <v>3565.4627426091015</v>
      </c>
      <c r="J110" s="84">
        <f t="shared" si="4"/>
        <v>1188582.0530210547</v>
      </c>
      <c r="K110" s="80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ht="15.75" customHeight="1" x14ac:dyDescent="0.25">
      <c r="A111" s="62"/>
      <c r="B111" s="62"/>
      <c r="C111" s="76"/>
      <c r="D111" s="77"/>
      <c r="E111" s="62"/>
      <c r="F111" s="83">
        <f t="shared" si="0"/>
        <v>108</v>
      </c>
      <c r="G111" s="84">
        <f t="shared" si="1"/>
        <v>6099.103400450068</v>
      </c>
      <c r="H111" s="84">
        <f t="shared" si="2"/>
        <v>2526.2126104605309</v>
      </c>
      <c r="I111" s="84">
        <f t="shared" si="3"/>
        <v>3572.8907899895371</v>
      </c>
      <c r="J111" s="84">
        <f t="shared" si="4"/>
        <v>1185009.1622310651</v>
      </c>
      <c r="K111" s="80"/>
      <c r="L111" s="76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15.75" customHeight="1" x14ac:dyDescent="0.25">
      <c r="A112" s="62"/>
      <c r="B112" s="62"/>
      <c r="C112" s="76"/>
      <c r="D112" s="77"/>
      <c r="E112" s="62"/>
      <c r="F112" s="83">
        <f t="shared" si="0"/>
        <v>109</v>
      </c>
      <c r="G112" s="84">
        <f t="shared" si="1"/>
        <v>6099.103400450068</v>
      </c>
      <c r="H112" s="84">
        <f t="shared" si="2"/>
        <v>2518.7690879813858</v>
      </c>
      <c r="I112" s="84">
        <f t="shared" si="3"/>
        <v>3580.3343124686821</v>
      </c>
      <c r="J112" s="84">
        <f t="shared" si="4"/>
        <v>1181428.8279185963</v>
      </c>
      <c r="K112" s="80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ht="15.75" customHeight="1" x14ac:dyDescent="0.25">
      <c r="A113" s="62"/>
      <c r="B113" s="62"/>
      <c r="C113" s="76"/>
      <c r="D113" s="77"/>
      <c r="E113" s="62"/>
      <c r="F113" s="83">
        <f t="shared" si="0"/>
        <v>110</v>
      </c>
      <c r="G113" s="84">
        <f t="shared" si="1"/>
        <v>6099.103400450068</v>
      </c>
      <c r="H113" s="84">
        <f t="shared" si="2"/>
        <v>2511.3100581637423</v>
      </c>
      <c r="I113" s="84">
        <f t="shared" si="3"/>
        <v>3587.7933422863257</v>
      </c>
      <c r="J113" s="84">
        <f t="shared" si="4"/>
        <v>1177841.0345763101</v>
      </c>
      <c r="K113" s="80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15.75" customHeight="1" x14ac:dyDescent="0.25">
      <c r="A114" s="62"/>
      <c r="B114" s="62"/>
      <c r="C114" s="76"/>
      <c r="D114" s="77"/>
      <c r="E114" s="62"/>
      <c r="F114" s="83">
        <f t="shared" si="0"/>
        <v>111</v>
      </c>
      <c r="G114" s="84">
        <f t="shared" si="1"/>
        <v>6099.103400450068</v>
      </c>
      <c r="H114" s="84">
        <f t="shared" si="2"/>
        <v>2503.8354887006462</v>
      </c>
      <c r="I114" s="84">
        <f t="shared" si="3"/>
        <v>3595.2679117494217</v>
      </c>
      <c r="J114" s="84">
        <f t="shared" si="4"/>
        <v>1174245.7666645607</v>
      </c>
      <c r="K114" s="80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ht="15.75" customHeight="1" x14ac:dyDescent="0.25">
      <c r="A115" s="62"/>
      <c r="B115" s="62"/>
      <c r="C115" s="76"/>
      <c r="D115" s="77"/>
      <c r="E115" s="62"/>
      <c r="F115" s="83">
        <f t="shared" si="0"/>
        <v>112</v>
      </c>
      <c r="G115" s="84">
        <f t="shared" si="1"/>
        <v>6099.103400450068</v>
      </c>
      <c r="H115" s="84">
        <f t="shared" si="2"/>
        <v>2496.3453472178348</v>
      </c>
      <c r="I115" s="84">
        <f t="shared" si="3"/>
        <v>3602.7580532322331</v>
      </c>
      <c r="J115" s="84">
        <f t="shared" si="4"/>
        <v>1170643.0086113284</v>
      </c>
      <c r="K115" s="80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ht="15.75" customHeight="1" x14ac:dyDescent="0.25">
      <c r="A116" s="62"/>
      <c r="B116" s="62"/>
      <c r="C116" s="76"/>
      <c r="D116" s="77"/>
      <c r="E116" s="62"/>
      <c r="F116" s="83">
        <f t="shared" si="0"/>
        <v>113</v>
      </c>
      <c r="G116" s="84">
        <f t="shared" si="1"/>
        <v>6099.103400450068</v>
      </c>
      <c r="H116" s="84">
        <f t="shared" si="2"/>
        <v>2488.8396012736011</v>
      </c>
      <c r="I116" s="84">
        <f t="shared" si="3"/>
        <v>3610.2637991764668</v>
      </c>
      <c r="J116" s="84">
        <f t="shared" si="4"/>
        <v>1167032.7448121519</v>
      </c>
      <c r="K116" s="80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ht="15.75" customHeight="1" x14ac:dyDescent="0.25">
      <c r="A117" s="62"/>
      <c r="B117" s="62"/>
      <c r="C117" s="76"/>
      <c r="D117" s="77"/>
      <c r="E117" s="62"/>
      <c r="F117" s="83">
        <f t="shared" si="0"/>
        <v>114</v>
      </c>
      <c r="G117" s="84">
        <f t="shared" si="1"/>
        <v>6099.103400450068</v>
      </c>
      <c r="H117" s="84">
        <f t="shared" si="2"/>
        <v>2481.31821835865</v>
      </c>
      <c r="I117" s="84">
        <f t="shared" si="3"/>
        <v>3617.7851820914179</v>
      </c>
      <c r="J117" s="84">
        <f t="shared" si="4"/>
        <v>1163414.9596300605</v>
      </c>
      <c r="K117" s="80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15.75" customHeight="1" x14ac:dyDescent="0.25">
      <c r="A118" s="62"/>
      <c r="B118" s="62"/>
      <c r="C118" s="76"/>
      <c r="D118" s="77"/>
      <c r="E118" s="62"/>
      <c r="F118" s="83">
        <f t="shared" si="0"/>
        <v>115</v>
      </c>
      <c r="G118" s="84">
        <f t="shared" si="1"/>
        <v>6099.103400450068</v>
      </c>
      <c r="H118" s="84">
        <f t="shared" si="2"/>
        <v>2473.7811658959595</v>
      </c>
      <c r="I118" s="84">
        <f t="shared" si="3"/>
        <v>3625.3222345541085</v>
      </c>
      <c r="J118" s="84">
        <f t="shared" si="4"/>
        <v>1159789.6373955063</v>
      </c>
      <c r="K118" s="80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ht="15.75" customHeight="1" x14ac:dyDescent="0.25">
      <c r="A119" s="62"/>
      <c r="B119" s="62"/>
      <c r="C119" s="76"/>
      <c r="D119" s="77"/>
      <c r="E119" s="62"/>
      <c r="F119" s="83">
        <f t="shared" si="0"/>
        <v>116</v>
      </c>
      <c r="G119" s="84">
        <f t="shared" si="1"/>
        <v>6099.103400450068</v>
      </c>
      <c r="H119" s="84">
        <f t="shared" si="2"/>
        <v>2466.2284112406383</v>
      </c>
      <c r="I119" s="84">
        <f t="shared" si="3"/>
        <v>3632.8749892094297</v>
      </c>
      <c r="J119" s="84">
        <f t="shared" si="4"/>
        <v>1156156.7624062968</v>
      </c>
      <c r="K119" s="80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15.75" customHeight="1" x14ac:dyDescent="0.25">
      <c r="A120" s="62"/>
      <c r="B120" s="62"/>
      <c r="C120" s="76"/>
      <c r="D120" s="77"/>
      <c r="E120" s="62"/>
      <c r="F120" s="83">
        <f t="shared" si="0"/>
        <v>117</v>
      </c>
      <c r="G120" s="84">
        <f t="shared" si="1"/>
        <v>6099.103400450068</v>
      </c>
      <c r="H120" s="84">
        <f t="shared" si="2"/>
        <v>2458.6599216797854</v>
      </c>
      <c r="I120" s="84">
        <f t="shared" si="3"/>
        <v>3640.4434787702826</v>
      </c>
      <c r="J120" s="84">
        <f t="shared" si="4"/>
        <v>1152516.3189275265</v>
      </c>
      <c r="K120" s="80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ht="15.75" customHeight="1" x14ac:dyDescent="0.25">
      <c r="A121" s="62"/>
      <c r="B121" s="62"/>
      <c r="C121" s="76"/>
      <c r="D121" s="77"/>
      <c r="E121" s="62"/>
      <c r="F121" s="83">
        <f t="shared" si="0"/>
        <v>118</v>
      </c>
      <c r="G121" s="84">
        <f t="shared" si="1"/>
        <v>6099.103400450068</v>
      </c>
      <c r="H121" s="84">
        <f t="shared" si="2"/>
        <v>2451.0756644323469</v>
      </c>
      <c r="I121" s="84">
        <f t="shared" si="3"/>
        <v>3648.0277360177211</v>
      </c>
      <c r="J121" s="84">
        <f t="shared" si="4"/>
        <v>1148868.2911915088</v>
      </c>
      <c r="K121" s="80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15.75" customHeight="1" x14ac:dyDescent="0.25">
      <c r="A122" s="62"/>
      <c r="B122" s="62"/>
      <c r="C122" s="76"/>
      <c r="D122" s="77"/>
      <c r="E122" s="62"/>
      <c r="F122" s="83">
        <f t="shared" si="0"/>
        <v>119</v>
      </c>
      <c r="G122" s="84">
        <f t="shared" si="1"/>
        <v>6099.103400450068</v>
      </c>
      <c r="H122" s="84">
        <f t="shared" si="2"/>
        <v>2443.4756066489767</v>
      </c>
      <c r="I122" s="84">
        <f t="shared" si="3"/>
        <v>3655.6277938010912</v>
      </c>
      <c r="J122" s="84">
        <f t="shared" si="4"/>
        <v>1145212.6633977077</v>
      </c>
      <c r="K122" s="80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ht="15.75" customHeight="1" x14ac:dyDescent="0.25">
      <c r="A123" s="62"/>
      <c r="B123" s="62"/>
      <c r="C123" s="76"/>
      <c r="D123" s="77"/>
      <c r="E123" s="62"/>
      <c r="F123" s="83">
        <f t="shared" si="0"/>
        <v>120</v>
      </c>
      <c r="G123" s="84">
        <f t="shared" si="1"/>
        <v>6099.103400450068</v>
      </c>
      <c r="H123" s="84">
        <f t="shared" si="2"/>
        <v>2435.8597154118911</v>
      </c>
      <c r="I123" s="84">
        <f t="shared" si="3"/>
        <v>3663.2436850381769</v>
      </c>
      <c r="J123" s="84">
        <f t="shared" si="4"/>
        <v>1141549.4197126697</v>
      </c>
      <c r="K123" s="80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15.75" customHeight="1" x14ac:dyDescent="0.25">
      <c r="A124" s="62"/>
      <c r="B124" s="62"/>
      <c r="C124" s="76"/>
      <c r="D124" s="77"/>
      <c r="E124" s="62"/>
      <c r="F124" s="83">
        <f t="shared" si="0"/>
        <v>121</v>
      </c>
      <c r="G124" s="84">
        <f t="shared" si="1"/>
        <v>6099.103400450068</v>
      </c>
      <c r="H124" s="84">
        <f t="shared" si="2"/>
        <v>2428.2279577347285</v>
      </c>
      <c r="I124" s="84">
        <f t="shared" si="3"/>
        <v>3670.8754427153394</v>
      </c>
      <c r="J124" s="84">
        <f t="shared" si="4"/>
        <v>1137878.5442699543</v>
      </c>
      <c r="K124" s="80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ht="15.75" customHeight="1" x14ac:dyDescent="0.25">
      <c r="A125" s="62"/>
      <c r="B125" s="62"/>
      <c r="C125" s="76"/>
      <c r="D125" s="77"/>
      <c r="E125" s="62"/>
      <c r="F125" s="83">
        <f t="shared" si="0"/>
        <v>122</v>
      </c>
      <c r="G125" s="84">
        <f t="shared" si="1"/>
        <v>6099.103400450068</v>
      </c>
      <c r="H125" s="84">
        <f t="shared" si="2"/>
        <v>2420.5803005624052</v>
      </c>
      <c r="I125" s="84">
        <f t="shared" si="3"/>
        <v>3678.5230998876627</v>
      </c>
      <c r="J125" s="84">
        <f t="shared" si="4"/>
        <v>1134200.0211700667</v>
      </c>
      <c r="K125" s="80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15.75" customHeight="1" x14ac:dyDescent="0.25">
      <c r="A126" s="62"/>
      <c r="B126" s="62"/>
      <c r="C126" s="76"/>
      <c r="D126" s="77"/>
      <c r="E126" s="62"/>
      <c r="F126" s="83">
        <f t="shared" si="0"/>
        <v>123</v>
      </c>
      <c r="G126" s="84">
        <f t="shared" si="1"/>
        <v>6099.103400450068</v>
      </c>
      <c r="H126" s="84">
        <f t="shared" si="2"/>
        <v>2412.9167107709723</v>
      </c>
      <c r="I126" s="84">
        <f t="shared" si="3"/>
        <v>3686.1866896790957</v>
      </c>
      <c r="J126" s="84">
        <f t="shared" si="4"/>
        <v>1130513.8344803876</v>
      </c>
      <c r="K126" s="80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ht="15.75" customHeight="1" x14ac:dyDescent="0.25">
      <c r="A127" s="62"/>
      <c r="B127" s="62"/>
      <c r="C127" s="76"/>
      <c r="D127" s="77"/>
      <c r="E127" s="62"/>
      <c r="F127" s="83">
        <f t="shared" si="0"/>
        <v>124</v>
      </c>
      <c r="G127" s="84">
        <f t="shared" si="1"/>
        <v>6099.103400450068</v>
      </c>
      <c r="H127" s="84">
        <f t="shared" si="2"/>
        <v>2405.2371551674746</v>
      </c>
      <c r="I127" s="84">
        <f t="shared" si="3"/>
        <v>3693.8662452825934</v>
      </c>
      <c r="J127" s="84">
        <f t="shared" si="4"/>
        <v>1126819.968235105</v>
      </c>
      <c r="K127" s="80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15.75" customHeight="1" x14ac:dyDescent="0.25">
      <c r="A128" s="62"/>
      <c r="B128" s="62"/>
      <c r="C128" s="76"/>
      <c r="D128" s="77"/>
      <c r="E128" s="62"/>
      <c r="F128" s="83">
        <f t="shared" si="0"/>
        <v>125</v>
      </c>
      <c r="G128" s="84">
        <f t="shared" si="1"/>
        <v>6099.103400450068</v>
      </c>
      <c r="H128" s="84">
        <f t="shared" si="2"/>
        <v>2397.541600489802</v>
      </c>
      <c r="I128" s="84">
        <f t="shared" si="3"/>
        <v>3701.5617999602659</v>
      </c>
      <c r="J128" s="84">
        <f t="shared" si="4"/>
        <v>1123118.4064351448</v>
      </c>
      <c r="K128" s="80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ht="15.75" customHeight="1" x14ac:dyDescent="0.25">
      <c r="A129" s="62"/>
      <c r="B129" s="62"/>
      <c r="C129" s="76"/>
      <c r="D129" s="77"/>
      <c r="E129" s="62"/>
      <c r="F129" s="83">
        <f t="shared" si="0"/>
        <v>126</v>
      </c>
      <c r="G129" s="84">
        <f t="shared" si="1"/>
        <v>6099.103400450068</v>
      </c>
      <c r="H129" s="84">
        <f t="shared" si="2"/>
        <v>2389.8300134065516</v>
      </c>
      <c r="I129" s="84">
        <f t="shared" si="3"/>
        <v>3709.2733870435163</v>
      </c>
      <c r="J129" s="84">
        <f t="shared" si="4"/>
        <v>1119409.1330481013</v>
      </c>
      <c r="K129" s="80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15.75" customHeight="1" x14ac:dyDescent="0.25">
      <c r="A130" s="62"/>
      <c r="B130" s="62"/>
      <c r="C130" s="76"/>
      <c r="D130" s="77"/>
      <c r="E130" s="62"/>
      <c r="F130" s="83">
        <f t="shared" si="0"/>
        <v>127</v>
      </c>
      <c r="G130" s="84">
        <f t="shared" si="1"/>
        <v>6099.103400450068</v>
      </c>
      <c r="H130" s="84">
        <f t="shared" si="2"/>
        <v>2382.102360516878</v>
      </c>
      <c r="I130" s="84">
        <f t="shared" si="3"/>
        <v>3717.00103993319</v>
      </c>
      <c r="J130" s="84">
        <f t="shared" si="4"/>
        <v>1115692.1320081681</v>
      </c>
      <c r="K130" s="80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ht="15.75" customHeight="1" x14ac:dyDescent="0.25">
      <c r="A131" s="62"/>
      <c r="B131" s="62"/>
      <c r="C131" s="76"/>
      <c r="D131" s="77"/>
      <c r="E131" s="62"/>
      <c r="F131" s="83">
        <f t="shared" si="0"/>
        <v>128</v>
      </c>
      <c r="G131" s="84">
        <f t="shared" si="1"/>
        <v>6099.103400450068</v>
      </c>
      <c r="H131" s="84">
        <f t="shared" si="2"/>
        <v>2374.3586083503506</v>
      </c>
      <c r="I131" s="84">
        <f t="shared" si="3"/>
        <v>3724.7447920997174</v>
      </c>
      <c r="J131" s="84">
        <f t="shared" si="4"/>
        <v>1111967.3872160683</v>
      </c>
      <c r="K131" s="80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15.75" customHeight="1" x14ac:dyDescent="0.25">
      <c r="A132" s="62"/>
      <c r="B132" s="62"/>
      <c r="C132" s="76"/>
      <c r="D132" s="77"/>
      <c r="E132" s="62"/>
      <c r="F132" s="83">
        <f t="shared" si="0"/>
        <v>129</v>
      </c>
      <c r="G132" s="84">
        <f t="shared" si="1"/>
        <v>6099.103400450068</v>
      </c>
      <c r="H132" s="84">
        <f t="shared" si="2"/>
        <v>2366.5987233668093</v>
      </c>
      <c r="I132" s="84">
        <f t="shared" si="3"/>
        <v>3732.5046770832587</v>
      </c>
      <c r="J132" s="84">
        <f t="shared" si="4"/>
        <v>1108234.882538985</v>
      </c>
      <c r="K132" s="80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ht="15.75" customHeight="1" x14ac:dyDescent="0.25">
      <c r="A133" s="62"/>
      <c r="B133" s="62"/>
      <c r="C133" s="76"/>
      <c r="D133" s="77"/>
      <c r="E133" s="62"/>
      <c r="F133" s="83">
        <f t="shared" si="0"/>
        <v>130</v>
      </c>
      <c r="G133" s="84">
        <f t="shared" si="1"/>
        <v>6099.103400450068</v>
      </c>
      <c r="H133" s="84">
        <f t="shared" si="2"/>
        <v>2358.822671956219</v>
      </c>
      <c r="I133" s="84">
        <f t="shared" si="3"/>
        <v>3740.280728493849</v>
      </c>
      <c r="J133" s="84">
        <f t="shared" si="4"/>
        <v>1104494.6018104912</v>
      </c>
      <c r="K133" s="80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ht="15.75" customHeight="1" x14ac:dyDescent="0.25">
      <c r="A134" s="62"/>
      <c r="B134" s="62"/>
      <c r="C134" s="76"/>
      <c r="D134" s="77"/>
      <c r="E134" s="62"/>
      <c r="F134" s="83">
        <f t="shared" si="0"/>
        <v>131</v>
      </c>
      <c r="G134" s="84">
        <f t="shared" si="1"/>
        <v>6099.103400450068</v>
      </c>
      <c r="H134" s="84">
        <f t="shared" si="2"/>
        <v>2351.0304204385234</v>
      </c>
      <c r="I134" s="84">
        <f t="shared" si="3"/>
        <v>3748.0729800115446</v>
      </c>
      <c r="J134" s="84">
        <f t="shared" si="4"/>
        <v>1100746.5288304796</v>
      </c>
      <c r="K134" s="80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ht="15.75" customHeight="1" x14ac:dyDescent="0.25">
      <c r="A135" s="62"/>
      <c r="B135" s="62"/>
      <c r="C135" s="76"/>
      <c r="D135" s="77"/>
      <c r="E135" s="62"/>
      <c r="F135" s="83">
        <f t="shared" si="0"/>
        <v>132</v>
      </c>
      <c r="G135" s="84">
        <f t="shared" si="1"/>
        <v>6099.103400450068</v>
      </c>
      <c r="H135" s="84">
        <f t="shared" si="2"/>
        <v>2343.2219350634991</v>
      </c>
      <c r="I135" s="84">
        <f t="shared" si="3"/>
        <v>3755.8814653865688</v>
      </c>
      <c r="J135" s="84">
        <f t="shared" si="4"/>
        <v>1096990.647365093</v>
      </c>
      <c r="K135" s="80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15.75" customHeight="1" x14ac:dyDescent="0.25">
      <c r="A136" s="62"/>
      <c r="B136" s="62"/>
      <c r="C136" s="76"/>
      <c r="D136" s="77"/>
      <c r="E136" s="62"/>
      <c r="F136" s="83">
        <f t="shared" si="0"/>
        <v>133</v>
      </c>
      <c r="G136" s="84">
        <f t="shared" si="1"/>
        <v>6099.103400450068</v>
      </c>
      <c r="H136" s="84">
        <f t="shared" si="2"/>
        <v>2335.3971820106103</v>
      </c>
      <c r="I136" s="84">
        <f t="shared" si="3"/>
        <v>3763.7062184394576</v>
      </c>
      <c r="J136" s="84">
        <f t="shared" si="4"/>
        <v>1093226.9411466536</v>
      </c>
      <c r="K136" s="80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ht="15.75" customHeight="1" x14ac:dyDescent="0.25">
      <c r="A137" s="62"/>
      <c r="B137" s="62"/>
      <c r="C137" s="76"/>
      <c r="D137" s="77"/>
      <c r="E137" s="62"/>
      <c r="F137" s="83">
        <f t="shared" si="0"/>
        <v>134</v>
      </c>
      <c r="G137" s="84">
        <f t="shared" si="1"/>
        <v>6099.103400450068</v>
      </c>
      <c r="H137" s="84">
        <f t="shared" si="2"/>
        <v>2327.556127388862</v>
      </c>
      <c r="I137" s="84">
        <f t="shared" si="3"/>
        <v>3771.5472730612059</v>
      </c>
      <c r="J137" s="84">
        <f t="shared" si="4"/>
        <v>1089455.3938735924</v>
      </c>
      <c r="K137" s="80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15.75" customHeight="1" x14ac:dyDescent="0.25">
      <c r="A138" s="62"/>
      <c r="B138" s="62"/>
      <c r="C138" s="76"/>
      <c r="D138" s="77"/>
      <c r="E138" s="62"/>
      <c r="F138" s="83">
        <f t="shared" si="0"/>
        <v>135</v>
      </c>
      <c r="G138" s="84">
        <f t="shared" si="1"/>
        <v>6099.103400450068</v>
      </c>
      <c r="H138" s="84">
        <f t="shared" si="2"/>
        <v>2319.6987372366507</v>
      </c>
      <c r="I138" s="84">
        <f t="shared" si="3"/>
        <v>3779.4046632134173</v>
      </c>
      <c r="J138" s="84">
        <f t="shared" si="4"/>
        <v>1085675.9892103788</v>
      </c>
      <c r="K138" s="80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ht="15.75" customHeight="1" x14ac:dyDescent="0.25">
      <c r="A139" s="62"/>
      <c r="B139" s="62"/>
      <c r="C139" s="76"/>
      <c r="D139" s="77"/>
      <c r="E139" s="62"/>
      <c r="F139" s="83">
        <f t="shared" si="0"/>
        <v>136</v>
      </c>
      <c r="G139" s="84">
        <f t="shared" si="1"/>
        <v>6099.103400450068</v>
      </c>
      <c r="H139" s="84">
        <f t="shared" si="2"/>
        <v>2311.8249775216227</v>
      </c>
      <c r="I139" s="84">
        <f t="shared" si="3"/>
        <v>3787.2784229284453</v>
      </c>
      <c r="J139" s="84">
        <f t="shared" si="4"/>
        <v>1081888.7107874504</v>
      </c>
      <c r="K139" s="80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15.75" customHeight="1" x14ac:dyDescent="0.25">
      <c r="A140" s="62"/>
      <c r="B140" s="62"/>
      <c r="C140" s="76"/>
      <c r="D140" s="77"/>
      <c r="E140" s="62"/>
      <c r="F140" s="83">
        <f t="shared" si="0"/>
        <v>137</v>
      </c>
      <c r="G140" s="84">
        <f t="shared" si="1"/>
        <v>6099.103400450068</v>
      </c>
      <c r="H140" s="84">
        <f t="shared" si="2"/>
        <v>2303.9348141405221</v>
      </c>
      <c r="I140" s="84">
        <f t="shared" si="3"/>
        <v>3795.1685863095458</v>
      </c>
      <c r="J140" s="84">
        <f t="shared" si="4"/>
        <v>1078093.5422011409</v>
      </c>
      <c r="K140" s="80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ht="15.75" customHeight="1" x14ac:dyDescent="0.25">
      <c r="A141" s="62"/>
      <c r="B141" s="62"/>
      <c r="C141" s="76"/>
      <c r="D141" s="77"/>
      <c r="E141" s="62"/>
      <c r="F141" s="83">
        <f t="shared" si="0"/>
        <v>138</v>
      </c>
      <c r="G141" s="84">
        <f t="shared" si="1"/>
        <v>6099.103400450068</v>
      </c>
      <c r="H141" s="84">
        <f t="shared" si="2"/>
        <v>2296.0282129190437</v>
      </c>
      <c r="I141" s="84">
        <f t="shared" si="3"/>
        <v>3803.0751875310243</v>
      </c>
      <c r="J141" s="84">
        <f t="shared" si="4"/>
        <v>1074290.4670136098</v>
      </c>
      <c r="K141" s="80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15.75" customHeight="1" x14ac:dyDescent="0.25">
      <c r="A142" s="62"/>
      <c r="B142" s="62"/>
      <c r="C142" s="76"/>
      <c r="D142" s="77"/>
      <c r="E142" s="62"/>
      <c r="F142" s="83">
        <f t="shared" si="0"/>
        <v>139</v>
      </c>
      <c r="G142" s="84">
        <f t="shared" si="1"/>
        <v>6099.103400450068</v>
      </c>
      <c r="H142" s="84">
        <f t="shared" si="2"/>
        <v>2288.1051396116873</v>
      </c>
      <c r="I142" s="84">
        <f t="shared" si="3"/>
        <v>3810.9982608383807</v>
      </c>
      <c r="J142" s="84">
        <f t="shared" si="4"/>
        <v>1070479.4687527714</v>
      </c>
      <c r="K142" s="80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ht="15.75" customHeight="1" x14ac:dyDescent="0.25">
      <c r="A143" s="62"/>
      <c r="B143" s="62"/>
      <c r="C143" s="76"/>
      <c r="D143" s="77"/>
      <c r="E143" s="62"/>
      <c r="F143" s="83">
        <f t="shared" si="0"/>
        <v>140</v>
      </c>
      <c r="G143" s="84">
        <f t="shared" si="1"/>
        <v>6099.103400450068</v>
      </c>
      <c r="H143" s="84">
        <f t="shared" si="2"/>
        <v>2280.1655599016071</v>
      </c>
      <c r="I143" s="84">
        <f t="shared" si="3"/>
        <v>3818.9378405484608</v>
      </c>
      <c r="J143" s="84">
        <f t="shared" si="4"/>
        <v>1066660.5309122228</v>
      </c>
      <c r="K143" s="80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15.75" customHeight="1" x14ac:dyDescent="0.25">
      <c r="A144" s="62"/>
      <c r="B144" s="62"/>
      <c r="C144" s="76"/>
      <c r="D144" s="77"/>
      <c r="E144" s="62"/>
      <c r="F144" s="83">
        <f t="shared" si="0"/>
        <v>141</v>
      </c>
      <c r="G144" s="84">
        <f t="shared" si="1"/>
        <v>6099.103400450068</v>
      </c>
      <c r="H144" s="84">
        <f t="shared" si="2"/>
        <v>2272.2094394004644</v>
      </c>
      <c r="I144" s="84">
        <f t="shared" si="3"/>
        <v>3826.8939610496036</v>
      </c>
      <c r="J144" s="84">
        <f t="shared" si="4"/>
        <v>1062833.6369511732</v>
      </c>
      <c r="K144" s="80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ht="15.75" customHeight="1" x14ac:dyDescent="0.25">
      <c r="A145" s="62"/>
      <c r="B145" s="62"/>
      <c r="C145" s="76"/>
      <c r="D145" s="77"/>
      <c r="E145" s="62"/>
      <c r="F145" s="83">
        <f t="shared" si="0"/>
        <v>142</v>
      </c>
      <c r="G145" s="84">
        <f t="shared" si="1"/>
        <v>6099.103400450068</v>
      </c>
      <c r="H145" s="84">
        <f t="shared" si="2"/>
        <v>2264.2367436482778</v>
      </c>
      <c r="I145" s="84">
        <f t="shared" si="3"/>
        <v>3834.8666568017902</v>
      </c>
      <c r="J145" s="84">
        <f t="shared" si="4"/>
        <v>1058998.7702943713</v>
      </c>
      <c r="K145" s="80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5.75" customHeight="1" x14ac:dyDescent="0.25">
      <c r="A146" s="62"/>
      <c r="B146" s="62"/>
      <c r="C146" s="76"/>
      <c r="D146" s="77"/>
      <c r="E146" s="62"/>
      <c r="F146" s="83">
        <f t="shared" si="0"/>
        <v>143</v>
      </c>
      <c r="G146" s="84">
        <f t="shared" si="1"/>
        <v>6099.103400450068</v>
      </c>
      <c r="H146" s="84">
        <f t="shared" si="2"/>
        <v>2256.2474381132738</v>
      </c>
      <c r="I146" s="84">
        <f t="shared" si="3"/>
        <v>3842.8559623367942</v>
      </c>
      <c r="J146" s="84">
        <f t="shared" si="4"/>
        <v>1055155.9143320345</v>
      </c>
      <c r="K146" s="80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ht="15.75" customHeight="1" x14ac:dyDescent="0.25">
      <c r="A147" s="62"/>
      <c r="B147" s="62"/>
      <c r="C147" s="76"/>
      <c r="D147" s="77"/>
      <c r="E147" s="62"/>
      <c r="F147" s="83">
        <f t="shared" si="0"/>
        <v>144</v>
      </c>
      <c r="G147" s="84">
        <f t="shared" si="1"/>
        <v>6099.103400450068</v>
      </c>
      <c r="H147" s="84">
        <f t="shared" si="2"/>
        <v>2248.2414881917389</v>
      </c>
      <c r="I147" s="84">
        <f t="shared" si="3"/>
        <v>3850.8619122583291</v>
      </c>
      <c r="J147" s="84">
        <f t="shared" si="4"/>
        <v>1051305.0524197761</v>
      </c>
      <c r="K147" s="80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5.75" customHeight="1" x14ac:dyDescent="0.25">
      <c r="A148" s="62"/>
      <c r="B148" s="62"/>
      <c r="C148" s="76"/>
      <c r="D148" s="77"/>
      <c r="E148" s="62"/>
      <c r="F148" s="83">
        <f t="shared" si="0"/>
        <v>145</v>
      </c>
      <c r="G148" s="84">
        <f t="shared" si="1"/>
        <v>6099.103400450068</v>
      </c>
      <c r="H148" s="84">
        <f t="shared" si="2"/>
        <v>2240.2188592078669</v>
      </c>
      <c r="I148" s="84">
        <f t="shared" si="3"/>
        <v>3858.8845412422011</v>
      </c>
      <c r="J148" s="84">
        <f t="shared" si="4"/>
        <v>1047446.1678785339</v>
      </c>
      <c r="K148" s="80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ht="15.75" customHeight="1" x14ac:dyDescent="0.25">
      <c r="A149" s="62"/>
      <c r="B149" s="62"/>
      <c r="C149" s="76"/>
      <c r="D149" s="77"/>
      <c r="E149" s="62"/>
      <c r="F149" s="83">
        <f t="shared" si="0"/>
        <v>146</v>
      </c>
      <c r="G149" s="84">
        <f t="shared" si="1"/>
        <v>6099.103400450068</v>
      </c>
      <c r="H149" s="84">
        <f t="shared" si="2"/>
        <v>2232.1795164136124</v>
      </c>
      <c r="I149" s="84">
        <f t="shared" si="3"/>
        <v>3866.9238840364555</v>
      </c>
      <c r="J149" s="84">
        <f t="shared" si="4"/>
        <v>1043579.2439944975</v>
      </c>
      <c r="K149" s="80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5.75" customHeight="1" x14ac:dyDescent="0.25">
      <c r="A150" s="62"/>
      <c r="B150" s="62"/>
      <c r="C150" s="76"/>
      <c r="D150" s="77"/>
      <c r="E150" s="62"/>
      <c r="F150" s="83">
        <f t="shared" si="0"/>
        <v>147</v>
      </c>
      <c r="G150" s="84">
        <f t="shared" si="1"/>
        <v>6099.103400450068</v>
      </c>
      <c r="H150" s="84">
        <f t="shared" si="2"/>
        <v>2224.1234249885365</v>
      </c>
      <c r="I150" s="84">
        <f t="shared" si="3"/>
        <v>3874.9799754615315</v>
      </c>
      <c r="J150" s="84">
        <f t="shared" si="4"/>
        <v>1039704.264019036</v>
      </c>
      <c r="K150" s="80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ht="15.75" customHeight="1" x14ac:dyDescent="0.25">
      <c r="A151" s="62"/>
      <c r="B151" s="62"/>
      <c r="C151" s="76"/>
      <c r="D151" s="77"/>
      <c r="E151" s="62"/>
      <c r="F151" s="83">
        <f t="shared" si="0"/>
        <v>148</v>
      </c>
      <c r="G151" s="84">
        <f t="shared" si="1"/>
        <v>6099.103400450068</v>
      </c>
      <c r="H151" s="84">
        <f t="shared" si="2"/>
        <v>2216.0505500396584</v>
      </c>
      <c r="I151" s="84">
        <f t="shared" si="3"/>
        <v>3883.0528504104095</v>
      </c>
      <c r="J151" s="84">
        <f t="shared" si="4"/>
        <v>1035821.2111686255</v>
      </c>
      <c r="K151" s="80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ht="15.75" customHeight="1" x14ac:dyDescent="0.25">
      <c r="A152" s="62"/>
      <c r="B152" s="62"/>
      <c r="C152" s="76"/>
      <c r="D152" s="77"/>
      <c r="E152" s="62"/>
      <c r="F152" s="83">
        <f t="shared" si="0"/>
        <v>149</v>
      </c>
      <c r="G152" s="84">
        <f t="shared" si="1"/>
        <v>6099.103400450068</v>
      </c>
      <c r="H152" s="84">
        <f t="shared" si="2"/>
        <v>2207.9608566013035</v>
      </c>
      <c r="I152" s="84">
        <f t="shared" si="3"/>
        <v>3891.1425438487645</v>
      </c>
      <c r="J152" s="84">
        <f t="shared" si="4"/>
        <v>1031930.0686247768</v>
      </c>
      <c r="K152" s="80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ht="15.75" customHeight="1" x14ac:dyDescent="0.25">
      <c r="A153" s="62"/>
      <c r="B153" s="62"/>
      <c r="C153" s="76"/>
      <c r="D153" s="77"/>
      <c r="E153" s="62"/>
      <c r="F153" s="83">
        <f t="shared" si="0"/>
        <v>150</v>
      </c>
      <c r="G153" s="84">
        <f t="shared" si="1"/>
        <v>6099.103400450068</v>
      </c>
      <c r="H153" s="84">
        <f t="shared" si="2"/>
        <v>2199.8543096349517</v>
      </c>
      <c r="I153" s="84">
        <f t="shared" si="3"/>
        <v>3899.2490908151162</v>
      </c>
      <c r="J153" s="84">
        <f t="shared" si="4"/>
        <v>1028030.8195339617</v>
      </c>
      <c r="K153" s="80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5.75" customHeight="1" x14ac:dyDescent="0.25">
      <c r="A154" s="62"/>
      <c r="B154" s="62"/>
      <c r="C154" s="76"/>
      <c r="D154" s="77"/>
      <c r="E154" s="62"/>
      <c r="F154" s="83">
        <f t="shared" si="0"/>
        <v>151</v>
      </c>
      <c r="G154" s="84">
        <f t="shared" si="1"/>
        <v>6099.103400450068</v>
      </c>
      <c r="H154" s="84">
        <f t="shared" si="2"/>
        <v>2191.7308740290869</v>
      </c>
      <c r="I154" s="84">
        <f t="shared" si="3"/>
        <v>3907.3725264209811</v>
      </c>
      <c r="J154" s="84">
        <f t="shared" si="4"/>
        <v>1024123.4470075407</v>
      </c>
      <c r="K154" s="80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ht="15.75" customHeight="1" x14ac:dyDescent="0.25">
      <c r="A155" s="62"/>
      <c r="B155" s="62"/>
      <c r="C155" s="76"/>
      <c r="D155" s="77"/>
      <c r="E155" s="62"/>
      <c r="F155" s="83">
        <f t="shared" si="0"/>
        <v>152</v>
      </c>
      <c r="G155" s="84">
        <f t="shared" si="1"/>
        <v>6099.103400450068</v>
      </c>
      <c r="H155" s="84">
        <f t="shared" si="2"/>
        <v>2183.5905145990432</v>
      </c>
      <c r="I155" s="84">
        <f t="shared" si="3"/>
        <v>3915.5128858510247</v>
      </c>
      <c r="J155" s="84">
        <f t="shared" si="4"/>
        <v>1020207.9341216898</v>
      </c>
      <c r="K155" s="80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5.75" customHeight="1" x14ac:dyDescent="0.25">
      <c r="A156" s="62"/>
      <c r="B156" s="62"/>
      <c r="C156" s="76"/>
      <c r="D156" s="77"/>
      <c r="E156" s="62"/>
      <c r="F156" s="83">
        <f t="shared" si="0"/>
        <v>153</v>
      </c>
      <c r="G156" s="84">
        <f t="shared" si="1"/>
        <v>6099.103400450068</v>
      </c>
      <c r="H156" s="84">
        <f t="shared" si="2"/>
        <v>2175.4331960868535</v>
      </c>
      <c r="I156" s="84">
        <f t="shared" si="3"/>
        <v>3923.6702043632145</v>
      </c>
      <c r="J156" s="84">
        <f t="shared" si="4"/>
        <v>1016284.2639173266</v>
      </c>
      <c r="K156" s="80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ht="15.75" customHeight="1" x14ac:dyDescent="0.25">
      <c r="A157" s="62"/>
      <c r="B157" s="62"/>
      <c r="C157" s="76"/>
      <c r="D157" s="77"/>
      <c r="E157" s="62"/>
      <c r="F157" s="83">
        <f t="shared" si="0"/>
        <v>154</v>
      </c>
      <c r="G157" s="84">
        <f t="shared" si="1"/>
        <v>6099.103400450068</v>
      </c>
      <c r="H157" s="84">
        <f t="shared" si="2"/>
        <v>2167.2588831610969</v>
      </c>
      <c r="I157" s="84">
        <f t="shared" si="3"/>
        <v>3931.844517288971</v>
      </c>
      <c r="J157" s="84">
        <f t="shared" si="4"/>
        <v>1012352.4194000376</v>
      </c>
      <c r="K157" s="80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5.75" customHeight="1" x14ac:dyDescent="0.25">
      <c r="A158" s="62"/>
      <c r="B158" s="62"/>
      <c r="C158" s="76"/>
      <c r="D158" s="77"/>
      <c r="E158" s="62"/>
      <c r="F158" s="83">
        <f t="shared" si="0"/>
        <v>155</v>
      </c>
      <c r="G158" s="84">
        <f t="shared" si="1"/>
        <v>6099.103400450068</v>
      </c>
      <c r="H158" s="84">
        <f t="shared" si="2"/>
        <v>2159.067540416745</v>
      </c>
      <c r="I158" s="84">
        <f t="shared" si="3"/>
        <v>3940.0358600333229</v>
      </c>
      <c r="J158" s="84">
        <f t="shared" si="4"/>
        <v>1008412.3835400043</v>
      </c>
      <c r="K158" s="80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ht="15.75" customHeight="1" x14ac:dyDescent="0.25">
      <c r="A159" s="62"/>
      <c r="B159" s="62"/>
      <c r="C159" s="76"/>
      <c r="D159" s="77"/>
      <c r="E159" s="62"/>
      <c r="F159" s="83">
        <f t="shared" si="0"/>
        <v>156</v>
      </c>
      <c r="G159" s="84">
        <f t="shared" si="1"/>
        <v>6099.103400450068</v>
      </c>
      <c r="H159" s="84">
        <f t="shared" si="2"/>
        <v>2150.8591323750093</v>
      </c>
      <c r="I159" s="84">
        <f t="shared" si="3"/>
        <v>3948.2442680750587</v>
      </c>
      <c r="J159" s="84">
        <f t="shared" si="4"/>
        <v>1004464.1392719292</v>
      </c>
      <c r="K159" s="80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5.75" customHeight="1" x14ac:dyDescent="0.25">
      <c r="A160" s="62"/>
      <c r="B160" s="62"/>
      <c r="C160" s="76"/>
      <c r="D160" s="77"/>
      <c r="E160" s="62"/>
      <c r="F160" s="83">
        <f t="shared" si="0"/>
        <v>157</v>
      </c>
      <c r="G160" s="84">
        <f t="shared" si="1"/>
        <v>6099.103400450068</v>
      </c>
      <c r="H160" s="84">
        <f t="shared" si="2"/>
        <v>2142.6336234831856</v>
      </c>
      <c r="I160" s="84">
        <f t="shared" si="3"/>
        <v>3956.4697769668824</v>
      </c>
      <c r="J160" s="84">
        <f t="shared" si="4"/>
        <v>1000507.6694949623</v>
      </c>
      <c r="K160" s="80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ht="15.75" customHeight="1" x14ac:dyDescent="0.25">
      <c r="A161" s="62"/>
      <c r="B161" s="62"/>
      <c r="C161" s="76"/>
      <c r="D161" s="77"/>
      <c r="E161" s="62"/>
      <c r="F161" s="83">
        <f t="shared" si="0"/>
        <v>158</v>
      </c>
      <c r="G161" s="84">
        <f t="shared" si="1"/>
        <v>6099.103400450068</v>
      </c>
      <c r="H161" s="84">
        <f t="shared" si="2"/>
        <v>2134.3909781145048</v>
      </c>
      <c r="I161" s="84">
        <f t="shared" si="3"/>
        <v>3964.7124223355631</v>
      </c>
      <c r="J161" s="84">
        <f t="shared" si="4"/>
        <v>996542.9570726268</v>
      </c>
      <c r="K161" s="80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5.75" customHeight="1" x14ac:dyDescent="0.25">
      <c r="A162" s="62"/>
      <c r="B162" s="62"/>
      <c r="C162" s="76"/>
      <c r="D162" s="77"/>
      <c r="E162" s="62"/>
      <c r="F162" s="83">
        <f t="shared" si="0"/>
        <v>159</v>
      </c>
      <c r="G162" s="84">
        <f t="shared" si="1"/>
        <v>6099.103400450068</v>
      </c>
      <c r="H162" s="84">
        <f t="shared" si="2"/>
        <v>2126.1311605679725</v>
      </c>
      <c r="I162" s="84">
        <f t="shared" si="3"/>
        <v>3972.9722398820954</v>
      </c>
      <c r="J162" s="84">
        <f t="shared" si="4"/>
        <v>992569.9848327447</v>
      </c>
      <c r="K162" s="80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ht="15.75" customHeight="1" x14ac:dyDescent="0.25">
      <c r="A163" s="62"/>
      <c r="B163" s="62"/>
      <c r="C163" s="76"/>
      <c r="D163" s="77"/>
      <c r="E163" s="62"/>
      <c r="F163" s="83">
        <f t="shared" si="0"/>
        <v>160</v>
      </c>
      <c r="G163" s="84">
        <f t="shared" si="1"/>
        <v>6099.103400450068</v>
      </c>
      <c r="H163" s="84">
        <f t="shared" si="2"/>
        <v>2117.8541350682185</v>
      </c>
      <c r="I163" s="84">
        <f t="shared" si="3"/>
        <v>3981.2492653818495</v>
      </c>
      <c r="J163" s="84">
        <f t="shared" si="4"/>
        <v>988588.73556736286</v>
      </c>
      <c r="K163" s="80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5.75" customHeight="1" x14ac:dyDescent="0.25">
      <c r="A164" s="62"/>
      <c r="B164" s="62"/>
      <c r="C164" s="76"/>
      <c r="D164" s="77"/>
      <c r="E164" s="62"/>
      <c r="F164" s="83">
        <f t="shared" si="0"/>
        <v>161</v>
      </c>
      <c r="G164" s="84">
        <f t="shared" si="1"/>
        <v>6099.103400450068</v>
      </c>
      <c r="H164" s="84">
        <f t="shared" si="2"/>
        <v>2109.5598657653395</v>
      </c>
      <c r="I164" s="84">
        <f t="shared" si="3"/>
        <v>3989.5435346847285</v>
      </c>
      <c r="J164" s="84">
        <f t="shared" si="4"/>
        <v>984599.19203267817</v>
      </c>
      <c r="K164" s="80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ht="15.75" customHeight="1" x14ac:dyDescent="0.25">
      <c r="A165" s="62"/>
      <c r="B165" s="62"/>
      <c r="C165" s="76"/>
      <c r="D165" s="77"/>
      <c r="E165" s="62"/>
      <c r="F165" s="83">
        <f t="shared" si="0"/>
        <v>162</v>
      </c>
      <c r="G165" s="84">
        <f t="shared" si="1"/>
        <v>6099.103400450068</v>
      </c>
      <c r="H165" s="84">
        <f t="shared" si="2"/>
        <v>2101.2483167347464</v>
      </c>
      <c r="I165" s="84">
        <f t="shared" si="3"/>
        <v>3997.8550837153216</v>
      </c>
      <c r="J165" s="84">
        <f t="shared" si="4"/>
        <v>980601.33694896288</v>
      </c>
      <c r="K165" s="80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5.75" customHeight="1" x14ac:dyDescent="0.25">
      <c r="A166" s="62"/>
      <c r="B166" s="62"/>
      <c r="C166" s="76"/>
      <c r="D166" s="77"/>
      <c r="E166" s="62"/>
      <c r="F166" s="83">
        <f t="shared" si="0"/>
        <v>163</v>
      </c>
      <c r="G166" s="84">
        <f t="shared" si="1"/>
        <v>6099.103400450068</v>
      </c>
      <c r="H166" s="84">
        <f t="shared" si="2"/>
        <v>2092.9194519770062</v>
      </c>
      <c r="I166" s="84">
        <f t="shared" si="3"/>
        <v>4006.1839484730617</v>
      </c>
      <c r="J166" s="84">
        <f t="shared" si="4"/>
        <v>976595.15300048981</v>
      </c>
      <c r="K166" s="80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ht="15.75" customHeight="1" x14ac:dyDescent="0.25">
      <c r="A167" s="62"/>
      <c r="B167" s="62"/>
      <c r="C167" s="76"/>
      <c r="D167" s="77"/>
      <c r="E167" s="62"/>
      <c r="F167" s="83">
        <f t="shared" si="0"/>
        <v>164</v>
      </c>
      <c r="G167" s="84">
        <f t="shared" si="1"/>
        <v>6099.103400450068</v>
      </c>
      <c r="H167" s="84">
        <f t="shared" si="2"/>
        <v>2084.5732354176871</v>
      </c>
      <c r="I167" s="84">
        <f t="shared" si="3"/>
        <v>4014.5301650323809</v>
      </c>
      <c r="J167" s="84">
        <f t="shared" si="4"/>
        <v>972580.62283545744</v>
      </c>
      <c r="K167" s="80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ht="15.75" customHeight="1" x14ac:dyDescent="0.25">
      <c r="A168" s="62"/>
      <c r="B168" s="62"/>
      <c r="C168" s="76"/>
      <c r="D168" s="77"/>
      <c r="E168" s="62"/>
      <c r="F168" s="83">
        <f t="shared" si="0"/>
        <v>165</v>
      </c>
      <c r="G168" s="84">
        <f t="shared" si="1"/>
        <v>6099.103400450068</v>
      </c>
      <c r="H168" s="84">
        <f t="shared" si="2"/>
        <v>2076.2096309072031</v>
      </c>
      <c r="I168" s="84">
        <f t="shared" si="3"/>
        <v>4022.8937695428649</v>
      </c>
      <c r="J168" s="84">
        <f t="shared" si="4"/>
        <v>968557.72906591452</v>
      </c>
      <c r="K168" s="80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ht="15.75" customHeight="1" x14ac:dyDescent="0.25">
      <c r="A169" s="62"/>
      <c r="B169" s="62"/>
      <c r="C169" s="76"/>
      <c r="D169" s="77"/>
      <c r="E169" s="62"/>
      <c r="F169" s="83">
        <f t="shared" si="0"/>
        <v>166</v>
      </c>
      <c r="G169" s="84">
        <f t="shared" si="1"/>
        <v>6099.103400450068</v>
      </c>
      <c r="H169" s="84">
        <f t="shared" si="2"/>
        <v>2067.8286022206557</v>
      </c>
      <c r="I169" s="84">
        <f t="shared" si="3"/>
        <v>4031.2747982294122</v>
      </c>
      <c r="J169" s="84">
        <f t="shared" si="4"/>
        <v>964526.45426768507</v>
      </c>
      <c r="K169" s="80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ht="15.75" customHeight="1" x14ac:dyDescent="0.25">
      <c r="A170" s="62"/>
      <c r="B170" s="62"/>
      <c r="C170" s="76"/>
      <c r="D170" s="77"/>
      <c r="E170" s="62"/>
      <c r="F170" s="83">
        <f t="shared" si="0"/>
        <v>167</v>
      </c>
      <c r="G170" s="84">
        <f t="shared" si="1"/>
        <v>6099.103400450068</v>
      </c>
      <c r="H170" s="84">
        <f t="shared" si="2"/>
        <v>2059.4301130576778</v>
      </c>
      <c r="I170" s="84">
        <f t="shared" si="3"/>
        <v>4039.6732873923902</v>
      </c>
      <c r="J170" s="84">
        <f t="shared" si="4"/>
        <v>960486.78098029271</v>
      </c>
      <c r="K170" s="80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ht="15.75" customHeight="1" x14ac:dyDescent="0.25">
      <c r="A171" s="62"/>
      <c r="B171" s="62"/>
      <c r="C171" s="76"/>
      <c r="D171" s="77"/>
      <c r="E171" s="62"/>
      <c r="F171" s="83">
        <f t="shared" si="0"/>
        <v>168</v>
      </c>
      <c r="G171" s="84">
        <f t="shared" si="1"/>
        <v>6099.103400450068</v>
      </c>
      <c r="H171" s="84">
        <f t="shared" si="2"/>
        <v>2051.0141270422764</v>
      </c>
      <c r="I171" s="84">
        <f t="shared" si="3"/>
        <v>4048.0892734077916</v>
      </c>
      <c r="J171" s="84">
        <f t="shared" si="4"/>
        <v>956438.69170688489</v>
      </c>
      <c r="K171" s="80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ht="15.75" customHeight="1" x14ac:dyDescent="0.25">
      <c r="A172" s="62"/>
      <c r="B172" s="62"/>
      <c r="C172" s="76"/>
      <c r="D172" s="77"/>
      <c r="E172" s="62"/>
      <c r="F172" s="83">
        <f t="shared" si="0"/>
        <v>169</v>
      </c>
      <c r="G172" s="84">
        <f t="shared" si="1"/>
        <v>6099.103400450068</v>
      </c>
      <c r="H172" s="84">
        <f t="shared" si="2"/>
        <v>2042.5806077226771</v>
      </c>
      <c r="I172" s="84">
        <f t="shared" si="3"/>
        <v>4056.5227927273909</v>
      </c>
      <c r="J172" s="84">
        <f t="shared" si="4"/>
        <v>952382.16891415755</v>
      </c>
      <c r="K172" s="80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ht="15.75" customHeight="1" x14ac:dyDescent="0.25">
      <c r="A173" s="62"/>
      <c r="B173" s="62"/>
      <c r="C173" s="76"/>
      <c r="D173" s="77"/>
      <c r="E173" s="62"/>
      <c r="F173" s="83">
        <f t="shared" si="0"/>
        <v>170</v>
      </c>
      <c r="G173" s="84">
        <f t="shared" si="1"/>
        <v>6099.103400450068</v>
      </c>
      <c r="H173" s="84">
        <f t="shared" si="2"/>
        <v>2034.1295185711617</v>
      </c>
      <c r="I173" s="84">
        <f t="shared" si="3"/>
        <v>4064.9738818789065</v>
      </c>
      <c r="J173" s="84">
        <f t="shared" si="4"/>
        <v>948317.19503227866</v>
      </c>
      <c r="K173" s="80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ht="15.75" customHeight="1" x14ac:dyDescent="0.25">
      <c r="A174" s="62"/>
      <c r="B174" s="62"/>
      <c r="C174" s="76"/>
      <c r="D174" s="77"/>
      <c r="E174" s="62"/>
      <c r="F174" s="83">
        <f t="shared" si="0"/>
        <v>171</v>
      </c>
      <c r="G174" s="84">
        <f t="shared" si="1"/>
        <v>6099.103400450068</v>
      </c>
      <c r="H174" s="84">
        <f t="shared" si="2"/>
        <v>2025.6608229839139</v>
      </c>
      <c r="I174" s="84">
        <f t="shared" si="3"/>
        <v>4073.442577466154</v>
      </c>
      <c r="J174" s="84">
        <f t="shared" si="4"/>
        <v>944243.75245481252</v>
      </c>
      <c r="K174" s="80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ht="15.75" customHeight="1" x14ac:dyDescent="0.25">
      <c r="A175" s="62"/>
      <c r="B175" s="62"/>
      <c r="C175" s="76"/>
      <c r="D175" s="77"/>
      <c r="E175" s="62"/>
      <c r="F175" s="83">
        <f t="shared" si="0"/>
        <v>172</v>
      </c>
      <c r="G175" s="84">
        <f t="shared" si="1"/>
        <v>6099.103400450068</v>
      </c>
      <c r="H175" s="84">
        <f t="shared" si="2"/>
        <v>2017.1744842808596</v>
      </c>
      <c r="I175" s="84">
        <f t="shared" si="3"/>
        <v>4081.9289161692086</v>
      </c>
      <c r="J175" s="84">
        <f t="shared" si="4"/>
        <v>940161.82353864331</v>
      </c>
      <c r="K175" s="80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ht="15.75" customHeight="1" x14ac:dyDescent="0.25">
      <c r="A176" s="62"/>
      <c r="B176" s="62"/>
      <c r="C176" s="76"/>
      <c r="D176" s="77"/>
      <c r="E176" s="62"/>
      <c r="F176" s="83">
        <f t="shared" si="0"/>
        <v>173</v>
      </c>
      <c r="G176" s="84">
        <f t="shared" si="1"/>
        <v>6099.103400450068</v>
      </c>
      <c r="H176" s="84">
        <f t="shared" si="2"/>
        <v>2008.670465705507</v>
      </c>
      <c r="I176" s="84">
        <f t="shared" si="3"/>
        <v>4090.432934744561</v>
      </c>
      <c r="J176" s="84">
        <f t="shared" si="4"/>
        <v>936071.39060389879</v>
      </c>
      <c r="K176" s="80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ht="15.75" customHeight="1" x14ac:dyDescent="0.25">
      <c r="A177" s="62"/>
      <c r="B177" s="62"/>
      <c r="C177" s="76"/>
      <c r="D177" s="77"/>
      <c r="E177" s="62"/>
      <c r="F177" s="83">
        <f t="shared" si="0"/>
        <v>174</v>
      </c>
      <c r="G177" s="84">
        <f t="shared" si="1"/>
        <v>6099.103400450068</v>
      </c>
      <c r="H177" s="84">
        <f t="shared" si="2"/>
        <v>2000.1487304247894</v>
      </c>
      <c r="I177" s="84">
        <f t="shared" si="3"/>
        <v>4098.9546700252786</v>
      </c>
      <c r="J177" s="84">
        <f t="shared" si="4"/>
        <v>931972.43593387352</v>
      </c>
      <c r="K177" s="80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ht="15.75" customHeight="1" x14ac:dyDescent="0.25">
      <c r="A178" s="62"/>
      <c r="B178" s="62"/>
      <c r="C178" s="76"/>
      <c r="D178" s="77"/>
      <c r="E178" s="62"/>
      <c r="F178" s="83">
        <f t="shared" si="0"/>
        <v>175</v>
      </c>
      <c r="G178" s="84">
        <f t="shared" si="1"/>
        <v>6099.103400450068</v>
      </c>
      <c r="H178" s="84">
        <f t="shared" si="2"/>
        <v>1991.6092415289033</v>
      </c>
      <c r="I178" s="84">
        <f t="shared" si="3"/>
        <v>4107.4941589211649</v>
      </c>
      <c r="J178" s="84">
        <f t="shared" si="4"/>
        <v>927864.94177495234</v>
      </c>
      <c r="K178" s="80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ht="15.75" customHeight="1" x14ac:dyDescent="0.25">
      <c r="A179" s="62"/>
      <c r="B179" s="62"/>
      <c r="C179" s="76"/>
      <c r="D179" s="77"/>
      <c r="E179" s="62"/>
      <c r="F179" s="83">
        <f t="shared" si="0"/>
        <v>176</v>
      </c>
      <c r="G179" s="84">
        <f t="shared" si="1"/>
        <v>6099.103400450068</v>
      </c>
      <c r="H179" s="84">
        <f t="shared" si="2"/>
        <v>1983.0519620311509</v>
      </c>
      <c r="I179" s="84">
        <f t="shared" si="3"/>
        <v>4116.0514384189173</v>
      </c>
      <c r="J179" s="84">
        <f t="shared" si="4"/>
        <v>923748.89033653343</v>
      </c>
      <c r="K179" s="80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ht="15.75" customHeight="1" x14ac:dyDescent="0.25">
      <c r="A180" s="62"/>
      <c r="B180" s="62"/>
      <c r="C180" s="76"/>
      <c r="D180" s="77"/>
      <c r="E180" s="62"/>
      <c r="F180" s="83">
        <f t="shared" si="0"/>
        <v>177</v>
      </c>
      <c r="G180" s="84">
        <f t="shared" si="1"/>
        <v>6099.103400450068</v>
      </c>
      <c r="H180" s="84">
        <f t="shared" si="2"/>
        <v>1974.4768548677782</v>
      </c>
      <c r="I180" s="84">
        <f t="shared" si="3"/>
        <v>4124.6265455822895</v>
      </c>
      <c r="J180" s="84">
        <f t="shared" si="4"/>
        <v>919624.26379095111</v>
      </c>
      <c r="K180" s="80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ht="15.75" customHeight="1" x14ac:dyDescent="0.25">
      <c r="A181" s="62"/>
      <c r="B181" s="62"/>
      <c r="C181" s="76"/>
      <c r="D181" s="77"/>
      <c r="E181" s="62"/>
      <c r="F181" s="83">
        <f t="shared" si="0"/>
        <v>178</v>
      </c>
      <c r="G181" s="84">
        <f t="shared" si="1"/>
        <v>6099.103400450068</v>
      </c>
      <c r="H181" s="84">
        <f t="shared" si="2"/>
        <v>1965.8838828978151</v>
      </c>
      <c r="I181" s="84">
        <f t="shared" si="3"/>
        <v>4133.2195175522529</v>
      </c>
      <c r="J181" s="84">
        <f t="shared" si="4"/>
        <v>915491.04427339882</v>
      </c>
      <c r="K181" s="80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ht="15.75" customHeight="1" x14ac:dyDescent="0.25">
      <c r="A182" s="62"/>
      <c r="B182" s="62"/>
      <c r="C182" s="76"/>
      <c r="D182" s="77"/>
      <c r="E182" s="62"/>
      <c r="F182" s="83">
        <f t="shared" si="0"/>
        <v>179</v>
      </c>
      <c r="G182" s="84">
        <f t="shared" si="1"/>
        <v>6099.103400450068</v>
      </c>
      <c r="H182" s="84">
        <f t="shared" si="2"/>
        <v>1957.2730089029144</v>
      </c>
      <c r="I182" s="84">
        <f t="shared" si="3"/>
        <v>4141.8303915471533</v>
      </c>
      <c r="J182" s="84">
        <f t="shared" si="4"/>
        <v>911349.21388185164</v>
      </c>
      <c r="K182" s="80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ht="15.75" customHeight="1" x14ac:dyDescent="0.25">
      <c r="A183" s="62"/>
      <c r="B183" s="62"/>
      <c r="C183" s="76"/>
      <c r="D183" s="77"/>
      <c r="E183" s="62"/>
      <c r="F183" s="83">
        <f t="shared" si="0"/>
        <v>180</v>
      </c>
      <c r="G183" s="84">
        <f t="shared" si="1"/>
        <v>6099.103400450068</v>
      </c>
      <c r="H183" s="84">
        <f t="shared" si="2"/>
        <v>1948.6441955871912</v>
      </c>
      <c r="I183" s="84">
        <f t="shared" si="3"/>
        <v>4150.4592048628765</v>
      </c>
      <c r="J183" s="84">
        <f t="shared" si="4"/>
        <v>907198.75467698881</v>
      </c>
      <c r="K183" s="80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ht="15.75" customHeight="1" x14ac:dyDescent="0.25">
      <c r="A184" s="62"/>
      <c r="B184" s="62"/>
      <c r="C184" s="76"/>
      <c r="D184" s="77"/>
      <c r="E184" s="62"/>
      <c r="F184" s="83">
        <f t="shared" si="0"/>
        <v>181</v>
      </c>
      <c r="G184" s="84">
        <f t="shared" si="1"/>
        <v>6099.103400450068</v>
      </c>
      <c r="H184" s="84">
        <f t="shared" si="2"/>
        <v>1939.9974055770601</v>
      </c>
      <c r="I184" s="84">
        <f t="shared" si="3"/>
        <v>4159.1059948730081</v>
      </c>
      <c r="J184" s="84">
        <f t="shared" si="4"/>
        <v>903039.64868211583</v>
      </c>
      <c r="K184" s="80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ht="15.75" customHeight="1" x14ac:dyDescent="0.25">
      <c r="A185" s="62"/>
      <c r="B185" s="62"/>
      <c r="C185" s="76"/>
      <c r="D185" s="77"/>
      <c r="E185" s="62"/>
      <c r="F185" s="83">
        <f t="shared" si="0"/>
        <v>182</v>
      </c>
      <c r="G185" s="84">
        <f t="shared" si="1"/>
        <v>6099.103400450068</v>
      </c>
      <c r="H185" s="84">
        <f t="shared" si="2"/>
        <v>1931.332601421075</v>
      </c>
      <c r="I185" s="84">
        <f t="shared" si="3"/>
        <v>4167.7707990289928</v>
      </c>
      <c r="J185" s="84">
        <f t="shared" si="4"/>
        <v>898871.8778830868</v>
      </c>
      <c r="K185" s="80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ht="15.75" customHeight="1" x14ac:dyDescent="0.25">
      <c r="A186" s="62"/>
      <c r="B186" s="62"/>
      <c r="C186" s="76"/>
      <c r="D186" s="77"/>
      <c r="E186" s="62"/>
      <c r="F186" s="83">
        <f t="shared" si="0"/>
        <v>183</v>
      </c>
      <c r="G186" s="84">
        <f t="shared" si="1"/>
        <v>6099.103400450068</v>
      </c>
      <c r="H186" s="84">
        <f t="shared" si="2"/>
        <v>1922.6497455897643</v>
      </c>
      <c r="I186" s="84">
        <f t="shared" si="3"/>
        <v>4176.4536548603037</v>
      </c>
      <c r="J186" s="84">
        <f t="shared" si="4"/>
        <v>894695.42422822653</v>
      </c>
      <c r="K186" s="80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ht="15.75" customHeight="1" x14ac:dyDescent="0.25">
      <c r="A187" s="62"/>
      <c r="B187" s="62"/>
      <c r="C187" s="76"/>
      <c r="D187" s="77"/>
      <c r="E187" s="62"/>
      <c r="F187" s="83">
        <f t="shared" si="0"/>
        <v>184</v>
      </c>
      <c r="G187" s="84">
        <f t="shared" si="1"/>
        <v>6099.103400450068</v>
      </c>
      <c r="H187" s="84">
        <f t="shared" si="2"/>
        <v>1913.9488004754721</v>
      </c>
      <c r="I187" s="84">
        <f t="shared" si="3"/>
        <v>4185.1545999745958</v>
      </c>
      <c r="J187" s="84">
        <f t="shared" si="4"/>
        <v>890510.2696282519</v>
      </c>
      <c r="K187" s="80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ht="15.75" customHeight="1" x14ac:dyDescent="0.25">
      <c r="A188" s="62"/>
      <c r="B188" s="62"/>
      <c r="C188" s="76"/>
      <c r="D188" s="77"/>
      <c r="E188" s="62"/>
      <c r="F188" s="83">
        <f t="shared" si="0"/>
        <v>185</v>
      </c>
      <c r="G188" s="84">
        <f t="shared" si="1"/>
        <v>6099.103400450068</v>
      </c>
      <c r="H188" s="84">
        <f t="shared" si="2"/>
        <v>1905.2297283921916</v>
      </c>
      <c r="I188" s="84">
        <f t="shared" si="3"/>
        <v>4193.8736720578763</v>
      </c>
      <c r="J188" s="84">
        <f t="shared" si="4"/>
        <v>886316.39595619403</v>
      </c>
      <c r="K188" s="80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ht="15.75" customHeight="1" x14ac:dyDescent="0.25">
      <c r="A189" s="62"/>
      <c r="B189" s="62"/>
      <c r="C189" s="76"/>
      <c r="D189" s="77"/>
      <c r="E189" s="62"/>
      <c r="F189" s="83">
        <f t="shared" si="0"/>
        <v>186</v>
      </c>
      <c r="G189" s="84">
        <f t="shared" si="1"/>
        <v>6099.103400450068</v>
      </c>
      <c r="H189" s="84">
        <f t="shared" si="2"/>
        <v>1896.4924915754043</v>
      </c>
      <c r="I189" s="84">
        <f t="shared" si="3"/>
        <v>4202.6109088746634</v>
      </c>
      <c r="J189" s="84">
        <f t="shared" si="4"/>
        <v>882113.78504731937</v>
      </c>
      <c r="K189" s="80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ht="15.75" customHeight="1" x14ac:dyDescent="0.25">
      <c r="A190" s="62"/>
      <c r="B190" s="62"/>
      <c r="C190" s="76"/>
      <c r="D190" s="77"/>
      <c r="E190" s="62"/>
      <c r="F190" s="83">
        <f t="shared" si="0"/>
        <v>187</v>
      </c>
      <c r="G190" s="84">
        <f t="shared" si="1"/>
        <v>6099.103400450068</v>
      </c>
      <c r="H190" s="84">
        <f t="shared" si="2"/>
        <v>1887.7370521819155</v>
      </c>
      <c r="I190" s="84">
        <f t="shared" si="3"/>
        <v>4211.3663482681523</v>
      </c>
      <c r="J190" s="84">
        <f t="shared" si="4"/>
        <v>877902.41869905125</v>
      </c>
      <c r="K190" s="80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ht="15.75" customHeight="1" x14ac:dyDescent="0.25">
      <c r="A191" s="62"/>
      <c r="B191" s="62"/>
      <c r="C191" s="76"/>
      <c r="D191" s="77"/>
      <c r="E191" s="62"/>
      <c r="F191" s="83">
        <f t="shared" si="0"/>
        <v>188</v>
      </c>
      <c r="G191" s="84">
        <f t="shared" si="1"/>
        <v>6099.103400450068</v>
      </c>
      <c r="H191" s="84">
        <f t="shared" si="2"/>
        <v>1878.9633722896904</v>
      </c>
      <c r="I191" s="84">
        <f t="shared" si="3"/>
        <v>4220.1400281603774</v>
      </c>
      <c r="J191" s="84">
        <f t="shared" si="4"/>
        <v>873682.27867089084</v>
      </c>
      <c r="K191" s="80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ht="15.75" customHeight="1" x14ac:dyDescent="0.25">
      <c r="A192" s="62"/>
      <c r="B192" s="62"/>
      <c r="C192" s="76"/>
      <c r="D192" s="77"/>
      <c r="E192" s="62"/>
      <c r="F192" s="83">
        <f t="shared" si="0"/>
        <v>189</v>
      </c>
      <c r="G192" s="84">
        <f t="shared" si="1"/>
        <v>6099.103400450068</v>
      </c>
      <c r="H192" s="84">
        <f t="shared" si="2"/>
        <v>1870.1714138976895</v>
      </c>
      <c r="I192" s="84">
        <f t="shared" si="3"/>
        <v>4228.9319865523785</v>
      </c>
      <c r="J192" s="84">
        <f t="shared" si="4"/>
        <v>869453.34668433841</v>
      </c>
      <c r="K192" s="80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ht="15.75" customHeight="1" x14ac:dyDescent="0.25">
      <c r="A193" s="62"/>
      <c r="B193" s="62"/>
      <c r="C193" s="76"/>
      <c r="D193" s="77"/>
      <c r="E193" s="62"/>
      <c r="F193" s="83">
        <f t="shared" si="0"/>
        <v>190</v>
      </c>
      <c r="G193" s="84">
        <f t="shared" si="1"/>
        <v>6099.103400450068</v>
      </c>
      <c r="H193" s="84">
        <f t="shared" si="2"/>
        <v>1861.3611389257051</v>
      </c>
      <c r="I193" s="84">
        <f t="shared" si="3"/>
        <v>4237.7422615243631</v>
      </c>
      <c r="J193" s="84">
        <f t="shared" si="4"/>
        <v>865215.6044228141</v>
      </c>
      <c r="K193" s="80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ht="15.75" customHeight="1" x14ac:dyDescent="0.25">
      <c r="A194" s="62"/>
      <c r="B194" s="62"/>
      <c r="C194" s="76"/>
      <c r="D194" s="77"/>
      <c r="E194" s="62"/>
      <c r="F194" s="83">
        <f t="shared" si="0"/>
        <v>191</v>
      </c>
      <c r="G194" s="84">
        <f t="shared" si="1"/>
        <v>6099.103400450068</v>
      </c>
      <c r="H194" s="84">
        <f t="shared" si="2"/>
        <v>1852.5325092141964</v>
      </c>
      <c r="I194" s="84">
        <f t="shared" si="3"/>
        <v>4246.5708912358714</v>
      </c>
      <c r="J194" s="84">
        <f t="shared" si="4"/>
        <v>860969.03353157826</v>
      </c>
      <c r="K194" s="80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ht="15.75" customHeight="1" x14ac:dyDescent="0.25">
      <c r="A195" s="62"/>
      <c r="B195" s="62"/>
      <c r="C195" s="76"/>
      <c r="D195" s="77"/>
      <c r="E195" s="62"/>
      <c r="F195" s="83">
        <f t="shared" si="0"/>
        <v>192</v>
      </c>
      <c r="G195" s="84">
        <f t="shared" si="1"/>
        <v>6099.103400450068</v>
      </c>
      <c r="H195" s="84">
        <f t="shared" si="2"/>
        <v>1843.6854865241214</v>
      </c>
      <c r="I195" s="84">
        <f t="shared" si="3"/>
        <v>4255.4179139259468</v>
      </c>
      <c r="J195" s="84">
        <f t="shared" si="4"/>
        <v>856713.61561765231</v>
      </c>
      <c r="K195" s="80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ht="15.75" customHeight="1" x14ac:dyDescent="0.25">
      <c r="A196" s="62"/>
      <c r="B196" s="62"/>
      <c r="C196" s="76"/>
      <c r="D196" s="77"/>
      <c r="E196" s="62"/>
      <c r="F196" s="83">
        <f t="shared" si="0"/>
        <v>193</v>
      </c>
      <c r="G196" s="84">
        <f t="shared" si="1"/>
        <v>6099.103400450068</v>
      </c>
      <c r="H196" s="84">
        <f t="shared" si="2"/>
        <v>1834.8200325367759</v>
      </c>
      <c r="I196" s="84">
        <f t="shared" si="3"/>
        <v>4264.2833679132918</v>
      </c>
      <c r="J196" s="84">
        <f t="shared" si="4"/>
        <v>852449.33224973897</v>
      </c>
      <c r="K196" s="80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ht="15.75" customHeight="1" x14ac:dyDescent="0.25">
      <c r="A197" s="62"/>
      <c r="B197" s="62"/>
      <c r="C197" s="76"/>
      <c r="D197" s="77"/>
      <c r="E197" s="62"/>
      <c r="F197" s="83">
        <f t="shared" si="0"/>
        <v>194</v>
      </c>
      <c r="G197" s="84">
        <f t="shared" si="1"/>
        <v>6099.103400450068</v>
      </c>
      <c r="H197" s="84">
        <f t="shared" si="2"/>
        <v>1825.9361088536232</v>
      </c>
      <c r="I197" s="84">
        <f t="shared" si="3"/>
        <v>4273.1672915964446</v>
      </c>
      <c r="J197" s="84">
        <f t="shared" si="4"/>
        <v>848176.16495814256</v>
      </c>
      <c r="K197" s="80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ht="15.75" customHeight="1" x14ac:dyDescent="0.25">
      <c r="A198" s="62"/>
      <c r="B198" s="62"/>
      <c r="C198" s="76"/>
      <c r="D198" s="77"/>
      <c r="E198" s="62"/>
      <c r="F198" s="83">
        <f t="shared" si="0"/>
        <v>195</v>
      </c>
      <c r="G198" s="84">
        <f t="shared" si="1"/>
        <v>6099.103400450068</v>
      </c>
      <c r="H198" s="84">
        <f t="shared" si="2"/>
        <v>1817.0336769961305</v>
      </c>
      <c r="I198" s="84">
        <f t="shared" si="3"/>
        <v>4282.0697234539375</v>
      </c>
      <c r="J198" s="84">
        <f t="shared" si="4"/>
        <v>843894.0952346886</v>
      </c>
      <c r="K198" s="80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ht="15.75" customHeight="1" x14ac:dyDescent="0.25">
      <c r="A199" s="62"/>
      <c r="B199" s="62"/>
      <c r="C199" s="76"/>
      <c r="D199" s="77"/>
      <c r="E199" s="62"/>
      <c r="F199" s="83">
        <f t="shared" si="0"/>
        <v>196</v>
      </c>
      <c r="G199" s="84">
        <f t="shared" si="1"/>
        <v>6099.103400450068</v>
      </c>
      <c r="H199" s="84">
        <f t="shared" si="2"/>
        <v>1808.1126984056016</v>
      </c>
      <c r="I199" s="84">
        <f t="shared" si="3"/>
        <v>4290.9907020444662</v>
      </c>
      <c r="J199" s="84">
        <f t="shared" si="4"/>
        <v>839603.10453264415</v>
      </c>
      <c r="K199" s="80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ht="15.75" customHeight="1" x14ac:dyDescent="0.25">
      <c r="A200" s="62"/>
      <c r="B200" s="62"/>
      <c r="C200" s="76"/>
      <c r="D200" s="77"/>
      <c r="E200" s="62"/>
      <c r="F200" s="83">
        <f t="shared" si="0"/>
        <v>197</v>
      </c>
      <c r="G200" s="84">
        <f t="shared" si="1"/>
        <v>6099.103400450068</v>
      </c>
      <c r="H200" s="84">
        <f t="shared" si="2"/>
        <v>1799.1731344430088</v>
      </c>
      <c r="I200" s="84">
        <f t="shared" si="3"/>
        <v>4299.9302660070589</v>
      </c>
      <c r="J200" s="84">
        <f t="shared" si="4"/>
        <v>835303.17426663707</v>
      </c>
      <c r="K200" s="80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ht="15.75" customHeight="1" x14ac:dyDescent="0.25">
      <c r="A201" s="62"/>
      <c r="B201" s="62"/>
      <c r="C201" s="76"/>
      <c r="D201" s="77"/>
      <c r="E201" s="62"/>
      <c r="F201" s="83">
        <f t="shared" si="0"/>
        <v>198</v>
      </c>
      <c r="G201" s="84">
        <f t="shared" si="1"/>
        <v>6099.103400450068</v>
      </c>
      <c r="H201" s="84">
        <f t="shared" si="2"/>
        <v>1790.2149463888272</v>
      </c>
      <c r="I201" s="84">
        <f t="shared" si="3"/>
        <v>4308.8884540612407</v>
      </c>
      <c r="J201" s="84">
        <f t="shared" si="4"/>
        <v>830994.28581257584</v>
      </c>
      <c r="K201" s="80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ht="15.75" customHeight="1" x14ac:dyDescent="0.25">
      <c r="A202" s="62"/>
      <c r="B202" s="62"/>
      <c r="C202" s="76"/>
      <c r="D202" s="77"/>
      <c r="E202" s="62"/>
      <c r="F202" s="83">
        <f t="shared" si="0"/>
        <v>199</v>
      </c>
      <c r="G202" s="84">
        <f t="shared" si="1"/>
        <v>6099.103400450068</v>
      </c>
      <c r="H202" s="84">
        <f t="shared" si="2"/>
        <v>1781.2380954428663</v>
      </c>
      <c r="I202" s="84">
        <f t="shared" si="3"/>
        <v>4317.8653050072016</v>
      </c>
      <c r="J202" s="84">
        <f t="shared" si="4"/>
        <v>826676.42050756863</v>
      </c>
      <c r="K202" s="80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ht="15.75" customHeight="1" x14ac:dyDescent="0.25">
      <c r="A203" s="62"/>
      <c r="B203" s="62"/>
      <c r="C203" s="76"/>
      <c r="D203" s="77"/>
      <c r="E203" s="62"/>
      <c r="F203" s="83">
        <f t="shared" si="0"/>
        <v>200</v>
      </c>
      <c r="G203" s="84">
        <f t="shared" si="1"/>
        <v>6099.103400450068</v>
      </c>
      <c r="H203" s="84">
        <f t="shared" si="2"/>
        <v>1772.2425427241014</v>
      </c>
      <c r="I203" s="84">
        <f t="shared" si="3"/>
        <v>4326.8608577259665</v>
      </c>
      <c r="J203" s="84">
        <f t="shared" si="4"/>
        <v>822349.55964984267</v>
      </c>
      <c r="K203" s="80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ht="15.75" customHeight="1" x14ac:dyDescent="0.25">
      <c r="A204" s="62"/>
      <c r="B204" s="62"/>
      <c r="C204" s="76"/>
      <c r="D204" s="77"/>
      <c r="E204" s="62"/>
      <c r="F204" s="83">
        <f t="shared" si="0"/>
        <v>201</v>
      </c>
      <c r="G204" s="84">
        <f t="shared" si="1"/>
        <v>6099.103400450068</v>
      </c>
      <c r="H204" s="84">
        <f t="shared" si="2"/>
        <v>1763.2282492705056</v>
      </c>
      <c r="I204" s="84">
        <f t="shared" si="3"/>
        <v>4335.8751511795626</v>
      </c>
      <c r="J204" s="84">
        <f t="shared" si="4"/>
        <v>818013.68449866306</v>
      </c>
      <c r="K204" s="80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ht="15.75" customHeight="1" x14ac:dyDescent="0.25">
      <c r="A205" s="62"/>
      <c r="B205" s="62"/>
      <c r="C205" s="76"/>
      <c r="D205" s="77"/>
      <c r="E205" s="62"/>
      <c r="F205" s="83">
        <f t="shared" si="0"/>
        <v>202</v>
      </c>
      <c r="G205" s="84">
        <f t="shared" si="1"/>
        <v>6099.103400450068</v>
      </c>
      <c r="H205" s="84">
        <f t="shared" si="2"/>
        <v>1754.1951760388813</v>
      </c>
      <c r="I205" s="84">
        <f t="shared" si="3"/>
        <v>4344.9082244111869</v>
      </c>
      <c r="J205" s="84">
        <f t="shared" si="4"/>
        <v>813668.77627425187</v>
      </c>
      <c r="K205" s="80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ht="15.75" customHeight="1" x14ac:dyDescent="0.25">
      <c r="A206" s="62"/>
      <c r="B206" s="62"/>
      <c r="C206" s="76"/>
      <c r="D206" s="77"/>
      <c r="E206" s="62"/>
      <c r="F206" s="83">
        <f t="shared" si="0"/>
        <v>203</v>
      </c>
      <c r="G206" s="84">
        <f t="shared" si="1"/>
        <v>6099.103400450068</v>
      </c>
      <c r="H206" s="84">
        <f t="shared" si="2"/>
        <v>1745.1432839046913</v>
      </c>
      <c r="I206" s="84">
        <f t="shared" si="3"/>
        <v>4353.9601165453769</v>
      </c>
      <c r="J206" s="84">
        <f t="shared" si="4"/>
        <v>809314.81615770655</v>
      </c>
      <c r="K206" s="80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ht="15.75" customHeight="1" x14ac:dyDescent="0.25">
      <c r="A207" s="62"/>
      <c r="B207" s="62"/>
      <c r="C207" s="76"/>
      <c r="D207" s="77"/>
      <c r="E207" s="62"/>
      <c r="F207" s="83">
        <f t="shared" si="0"/>
        <v>204</v>
      </c>
      <c r="G207" s="84">
        <f t="shared" si="1"/>
        <v>6099.103400450068</v>
      </c>
      <c r="H207" s="84">
        <f t="shared" si="2"/>
        <v>1736.0725336618889</v>
      </c>
      <c r="I207" s="84">
        <f t="shared" si="3"/>
        <v>4363.0308667881791</v>
      </c>
      <c r="J207" s="84">
        <f t="shared" si="4"/>
        <v>804951.78529091831</v>
      </c>
      <c r="K207" s="80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ht="15.75" customHeight="1" x14ac:dyDescent="0.25">
      <c r="A208" s="62"/>
      <c r="B208" s="62"/>
      <c r="C208" s="76"/>
      <c r="D208" s="77"/>
      <c r="E208" s="62"/>
      <c r="F208" s="83">
        <f t="shared" si="0"/>
        <v>205</v>
      </c>
      <c r="G208" s="84">
        <f t="shared" si="1"/>
        <v>6099.103400450068</v>
      </c>
      <c r="H208" s="84">
        <f t="shared" si="2"/>
        <v>1726.9828860227465</v>
      </c>
      <c r="I208" s="84">
        <f t="shared" si="3"/>
        <v>4372.1205144273217</v>
      </c>
      <c r="J208" s="84">
        <f t="shared" si="4"/>
        <v>800579.664776491</v>
      </c>
      <c r="K208" s="80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ht="15.75" customHeight="1" x14ac:dyDescent="0.25">
      <c r="A209" s="62"/>
      <c r="B209" s="62"/>
      <c r="C209" s="76"/>
      <c r="D209" s="77"/>
      <c r="E209" s="62"/>
      <c r="F209" s="83">
        <f t="shared" si="0"/>
        <v>206</v>
      </c>
      <c r="G209" s="84">
        <f t="shared" si="1"/>
        <v>6099.103400450068</v>
      </c>
      <c r="H209" s="84">
        <f t="shared" si="2"/>
        <v>1717.8743016176898</v>
      </c>
      <c r="I209" s="84">
        <f t="shared" si="3"/>
        <v>4381.2290988323784</v>
      </c>
      <c r="J209" s="84">
        <f t="shared" si="4"/>
        <v>796198.43567765865</v>
      </c>
      <c r="K209" s="80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ht="15.75" customHeight="1" x14ac:dyDescent="0.25">
      <c r="A210" s="62"/>
      <c r="B210" s="62"/>
      <c r="C210" s="76"/>
      <c r="D210" s="77"/>
      <c r="E210" s="62"/>
      <c r="F210" s="83">
        <f t="shared" si="0"/>
        <v>207</v>
      </c>
      <c r="G210" s="84">
        <f t="shared" si="1"/>
        <v>6099.103400450068</v>
      </c>
      <c r="H210" s="84">
        <f t="shared" si="2"/>
        <v>1708.7467409951223</v>
      </c>
      <c r="I210" s="84">
        <f t="shared" si="3"/>
        <v>4390.3566594549457</v>
      </c>
      <c r="J210" s="84">
        <f t="shared" si="4"/>
        <v>791808.07901820366</v>
      </c>
      <c r="K210" s="80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ht="15.75" customHeight="1" x14ac:dyDescent="0.25">
      <c r="A211" s="62"/>
      <c r="B211" s="62"/>
      <c r="C211" s="76"/>
      <c r="D211" s="77"/>
      <c r="E211" s="62"/>
      <c r="F211" s="83">
        <f t="shared" si="0"/>
        <v>208</v>
      </c>
      <c r="G211" s="84">
        <f t="shared" si="1"/>
        <v>6099.103400450068</v>
      </c>
      <c r="H211" s="84">
        <f t="shared" si="2"/>
        <v>1699.6001646212578</v>
      </c>
      <c r="I211" s="84">
        <f t="shared" si="3"/>
        <v>4399.5032358288099</v>
      </c>
      <c r="J211" s="84">
        <f t="shared" si="4"/>
        <v>787408.57578237483</v>
      </c>
      <c r="K211" s="80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ht="15.75" customHeight="1" x14ac:dyDescent="0.25">
      <c r="A212" s="62"/>
      <c r="B212" s="62"/>
      <c r="C212" s="76"/>
      <c r="D212" s="77"/>
      <c r="E212" s="62"/>
      <c r="F212" s="83">
        <f t="shared" si="0"/>
        <v>209</v>
      </c>
      <c r="G212" s="84">
        <f t="shared" si="1"/>
        <v>6099.103400450068</v>
      </c>
      <c r="H212" s="84">
        <f t="shared" si="2"/>
        <v>1690.4345328799475</v>
      </c>
      <c r="I212" s="84">
        <f t="shared" si="3"/>
        <v>4408.6688675701207</v>
      </c>
      <c r="J212" s="84">
        <f t="shared" si="4"/>
        <v>782999.90691480471</v>
      </c>
      <c r="K212" s="80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ht="15.75" customHeight="1" x14ac:dyDescent="0.25">
      <c r="A213" s="62"/>
      <c r="B213" s="62"/>
      <c r="C213" s="76"/>
      <c r="D213" s="77"/>
      <c r="E213" s="62"/>
      <c r="F213" s="83">
        <f t="shared" si="0"/>
        <v>210</v>
      </c>
      <c r="G213" s="84">
        <f t="shared" si="1"/>
        <v>6099.103400450068</v>
      </c>
      <c r="H213" s="84">
        <f t="shared" si="2"/>
        <v>1681.24980607251</v>
      </c>
      <c r="I213" s="84">
        <f t="shared" si="3"/>
        <v>4417.8535943775578</v>
      </c>
      <c r="J213" s="84">
        <f t="shared" si="4"/>
        <v>778582.05332042719</v>
      </c>
      <c r="K213" s="80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ht="15.75" customHeight="1" x14ac:dyDescent="0.25">
      <c r="A214" s="62"/>
      <c r="B214" s="62"/>
      <c r="C214" s="76"/>
      <c r="D214" s="77"/>
      <c r="E214" s="62"/>
      <c r="F214" s="83">
        <f t="shared" si="0"/>
        <v>211</v>
      </c>
      <c r="G214" s="84">
        <f t="shared" si="1"/>
        <v>6099.103400450068</v>
      </c>
      <c r="H214" s="84">
        <f t="shared" si="2"/>
        <v>1672.0459444175567</v>
      </c>
      <c r="I214" s="84">
        <f t="shared" si="3"/>
        <v>4427.0574560325113</v>
      </c>
      <c r="J214" s="84">
        <f t="shared" si="4"/>
        <v>774154.9958643947</v>
      </c>
      <c r="K214" s="80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ht="15.75" customHeight="1" x14ac:dyDescent="0.25">
      <c r="A215" s="62"/>
      <c r="B215" s="62"/>
      <c r="C215" s="76"/>
      <c r="D215" s="77"/>
      <c r="E215" s="62"/>
      <c r="F215" s="83">
        <f t="shared" si="0"/>
        <v>212</v>
      </c>
      <c r="G215" s="84">
        <f t="shared" si="1"/>
        <v>6099.103400450068</v>
      </c>
      <c r="H215" s="84">
        <f t="shared" si="2"/>
        <v>1662.8229080508224</v>
      </c>
      <c r="I215" s="84">
        <f t="shared" si="3"/>
        <v>4436.2804923992453</v>
      </c>
      <c r="J215" s="84">
        <f t="shared" si="4"/>
        <v>769718.71537199547</v>
      </c>
      <c r="K215" s="80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ht="15.75" customHeight="1" x14ac:dyDescent="0.25">
      <c r="A216" s="62"/>
      <c r="B216" s="62"/>
      <c r="C216" s="76"/>
      <c r="D216" s="77"/>
      <c r="E216" s="62"/>
      <c r="F216" s="83">
        <f t="shared" si="0"/>
        <v>213</v>
      </c>
      <c r="G216" s="84">
        <f t="shared" si="1"/>
        <v>6099.103400450068</v>
      </c>
      <c r="H216" s="84">
        <f t="shared" si="2"/>
        <v>1653.5806570249906</v>
      </c>
      <c r="I216" s="84">
        <f t="shared" si="3"/>
        <v>4445.5227434250774</v>
      </c>
      <c r="J216" s="84">
        <f t="shared" si="4"/>
        <v>765273.19262857037</v>
      </c>
      <c r="K216" s="80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ht="15.75" customHeight="1" x14ac:dyDescent="0.25">
      <c r="A217" s="62"/>
      <c r="B217" s="62"/>
      <c r="C217" s="76"/>
      <c r="D217" s="77"/>
      <c r="E217" s="62"/>
      <c r="F217" s="83">
        <f t="shared" si="0"/>
        <v>214</v>
      </c>
      <c r="G217" s="84">
        <f t="shared" si="1"/>
        <v>6099.103400450068</v>
      </c>
      <c r="H217" s="84">
        <f t="shared" si="2"/>
        <v>1644.3191513095217</v>
      </c>
      <c r="I217" s="84">
        <f t="shared" si="3"/>
        <v>4454.7842491405463</v>
      </c>
      <c r="J217" s="84">
        <f t="shared" si="4"/>
        <v>760818.40837942983</v>
      </c>
      <c r="K217" s="80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ht="15.75" customHeight="1" x14ac:dyDescent="0.25">
      <c r="A218" s="62"/>
      <c r="B218" s="62"/>
      <c r="C218" s="76"/>
      <c r="D218" s="77"/>
      <c r="E218" s="62"/>
      <c r="F218" s="83">
        <f t="shared" si="0"/>
        <v>215</v>
      </c>
      <c r="G218" s="84">
        <f t="shared" si="1"/>
        <v>6099.103400450068</v>
      </c>
      <c r="H218" s="84">
        <f t="shared" si="2"/>
        <v>1635.0383507904789</v>
      </c>
      <c r="I218" s="84">
        <f t="shared" si="3"/>
        <v>4464.065049659589</v>
      </c>
      <c r="J218" s="84">
        <f t="shared" si="4"/>
        <v>756354.34332977026</v>
      </c>
      <c r="K218" s="80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ht="15.75" customHeight="1" x14ac:dyDescent="0.25">
      <c r="A219" s="62"/>
      <c r="B219" s="62"/>
      <c r="C219" s="76"/>
      <c r="D219" s="77"/>
      <c r="E219" s="62"/>
      <c r="F219" s="83">
        <f t="shared" si="0"/>
        <v>216</v>
      </c>
      <c r="G219" s="84">
        <f t="shared" si="1"/>
        <v>6099.103400450068</v>
      </c>
      <c r="H219" s="84">
        <f t="shared" si="2"/>
        <v>1625.7382152703549</v>
      </c>
      <c r="I219" s="84">
        <f t="shared" si="3"/>
        <v>4473.3651851797131</v>
      </c>
      <c r="J219" s="84">
        <f t="shared" si="4"/>
        <v>751880.97814459051</v>
      </c>
      <c r="K219" s="80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ht="15.75" customHeight="1" x14ac:dyDescent="0.25">
      <c r="A220" s="62"/>
      <c r="B220" s="62"/>
      <c r="C220" s="76"/>
      <c r="D220" s="77"/>
      <c r="E220" s="62"/>
      <c r="F220" s="83">
        <f t="shared" si="0"/>
        <v>217</v>
      </c>
      <c r="G220" s="84">
        <f t="shared" si="1"/>
        <v>6099.103400450068</v>
      </c>
      <c r="H220" s="84">
        <f t="shared" si="2"/>
        <v>1616.4187044678968</v>
      </c>
      <c r="I220" s="84">
        <f t="shared" si="3"/>
        <v>4482.6846959821714</v>
      </c>
      <c r="J220" s="84">
        <f t="shared" si="4"/>
        <v>747398.29344860837</v>
      </c>
      <c r="K220" s="80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ht="15.75" customHeight="1" x14ac:dyDescent="0.25">
      <c r="A221" s="62"/>
      <c r="B221" s="62"/>
      <c r="C221" s="76"/>
      <c r="D221" s="77"/>
      <c r="E221" s="62"/>
      <c r="F221" s="83">
        <f t="shared" si="0"/>
        <v>218</v>
      </c>
      <c r="G221" s="84">
        <f t="shared" si="1"/>
        <v>6099.103400450068</v>
      </c>
      <c r="H221" s="84">
        <f t="shared" si="2"/>
        <v>1607.0797780179344</v>
      </c>
      <c r="I221" s="84">
        <f t="shared" si="3"/>
        <v>4492.0236224321334</v>
      </c>
      <c r="J221" s="84">
        <f t="shared" si="4"/>
        <v>742906.26982617623</v>
      </c>
      <c r="K221" s="80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ht="15.75" customHeight="1" x14ac:dyDescent="0.25">
      <c r="A222" s="62"/>
      <c r="B222" s="62"/>
      <c r="C222" s="76"/>
      <c r="D222" s="77"/>
      <c r="E222" s="62"/>
      <c r="F222" s="83">
        <f t="shared" si="0"/>
        <v>219</v>
      </c>
      <c r="G222" s="84">
        <f t="shared" si="1"/>
        <v>6099.103400450068</v>
      </c>
      <c r="H222" s="84">
        <f t="shared" si="2"/>
        <v>1597.7213954712006</v>
      </c>
      <c r="I222" s="84">
        <f t="shared" si="3"/>
        <v>4501.3820049788674</v>
      </c>
      <c r="J222" s="84">
        <f t="shared" si="4"/>
        <v>738404.88782119739</v>
      </c>
      <c r="K222" s="80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ht="15.75" customHeight="1" x14ac:dyDescent="0.25">
      <c r="A223" s="62"/>
      <c r="B223" s="62"/>
      <c r="C223" s="76"/>
      <c r="D223" s="77"/>
      <c r="E223" s="62"/>
      <c r="F223" s="83">
        <f t="shared" si="0"/>
        <v>220</v>
      </c>
      <c r="G223" s="84">
        <f t="shared" si="1"/>
        <v>6099.103400450068</v>
      </c>
      <c r="H223" s="84">
        <f t="shared" si="2"/>
        <v>1588.3435162941614</v>
      </c>
      <c r="I223" s="84">
        <f t="shared" si="3"/>
        <v>4510.7598841559065</v>
      </c>
      <c r="J223" s="84">
        <f t="shared" si="4"/>
        <v>733894.12793704146</v>
      </c>
      <c r="K223" s="80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ht="15.75" customHeight="1" x14ac:dyDescent="0.25">
      <c r="A224" s="62"/>
      <c r="B224" s="62"/>
      <c r="C224" s="76"/>
      <c r="D224" s="77"/>
      <c r="E224" s="62"/>
      <c r="F224" s="83">
        <f t="shared" si="0"/>
        <v>221</v>
      </c>
      <c r="G224" s="84">
        <f t="shared" si="1"/>
        <v>6099.103400450068</v>
      </c>
      <c r="H224" s="84">
        <f t="shared" si="2"/>
        <v>1578.9460998688364</v>
      </c>
      <c r="I224" s="84">
        <f t="shared" si="3"/>
        <v>4520.1573005812315</v>
      </c>
      <c r="J224" s="84">
        <f t="shared" si="4"/>
        <v>729373.97063646023</v>
      </c>
      <c r="K224" s="80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ht="15.75" customHeight="1" x14ac:dyDescent="0.25">
      <c r="A225" s="62"/>
      <c r="B225" s="62"/>
      <c r="C225" s="76"/>
      <c r="D225" s="77"/>
      <c r="E225" s="62"/>
      <c r="F225" s="83">
        <f t="shared" si="0"/>
        <v>222</v>
      </c>
      <c r="G225" s="84">
        <f t="shared" si="1"/>
        <v>6099.103400450068</v>
      </c>
      <c r="H225" s="84">
        <f t="shared" si="2"/>
        <v>1569.5291054926256</v>
      </c>
      <c r="I225" s="84">
        <f t="shared" si="3"/>
        <v>4529.5742949574424</v>
      </c>
      <c r="J225" s="84">
        <f t="shared" si="4"/>
        <v>724844.39634150278</v>
      </c>
      <c r="K225" s="80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ht="15.75" customHeight="1" x14ac:dyDescent="0.25">
      <c r="A226" s="62"/>
      <c r="B226" s="62"/>
      <c r="C226" s="76"/>
      <c r="D226" s="77"/>
      <c r="E226" s="62"/>
      <c r="F226" s="83">
        <f t="shared" si="0"/>
        <v>223</v>
      </c>
      <c r="G226" s="84">
        <f t="shared" si="1"/>
        <v>6099.103400450068</v>
      </c>
      <c r="H226" s="84">
        <f t="shared" si="2"/>
        <v>1560.0924923781311</v>
      </c>
      <c r="I226" s="84">
        <f t="shared" si="3"/>
        <v>4539.0109080719367</v>
      </c>
      <c r="J226" s="84">
        <f t="shared" si="4"/>
        <v>720305.3854334309</v>
      </c>
      <c r="K226" s="80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ht="15.75" customHeight="1" x14ac:dyDescent="0.25">
      <c r="A227" s="62"/>
      <c r="B227" s="62"/>
      <c r="C227" s="76"/>
      <c r="D227" s="77"/>
      <c r="E227" s="62"/>
      <c r="F227" s="83">
        <f t="shared" si="0"/>
        <v>224</v>
      </c>
      <c r="G227" s="84">
        <f t="shared" si="1"/>
        <v>6099.103400450068</v>
      </c>
      <c r="H227" s="84">
        <f t="shared" si="2"/>
        <v>1550.636219652981</v>
      </c>
      <c r="I227" s="84">
        <f t="shared" si="3"/>
        <v>4548.4671807970872</v>
      </c>
      <c r="J227" s="84">
        <f t="shared" si="4"/>
        <v>715756.91825263377</v>
      </c>
      <c r="K227" s="80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ht="15.75" customHeight="1" x14ac:dyDescent="0.25">
      <c r="A228" s="62"/>
      <c r="B228" s="62"/>
      <c r="C228" s="76"/>
      <c r="D228" s="77"/>
      <c r="E228" s="62"/>
      <c r="F228" s="83">
        <f t="shared" si="0"/>
        <v>225</v>
      </c>
      <c r="G228" s="84">
        <f t="shared" si="1"/>
        <v>6099.103400450068</v>
      </c>
      <c r="H228" s="84">
        <f t="shared" si="2"/>
        <v>1541.1602463596537</v>
      </c>
      <c r="I228" s="84">
        <f t="shared" si="3"/>
        <v>4557.9431540904143</v>
      </c>
      <c r="J228" s="84">
        <f t="shared" si="4"/>
        <v>711198.97509854333</v>
      </c>
      <c r="K228" s="80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ht="15.75" customHeight="1" x14ac:dyDescent="0.25">
      <c r="A229" s="62"/>
      <c r="B229" s="62"/>
      <c r="C229" s="76"/>
      <c r="D229" s="77"/>
      <c r="E229" s="62"/>
      <c r="F229" s="83">
        <f t="shared" si="0"/>
        <v>226</v>
      </c>
      <c r="G229" s="84">
        <f t="shared" si="1"/>
        <v>6099.103400450068</v>
      </c>
      <c r="H229" s="84">
        <f t="shared" si="2"/>
        <v>1531.6645314552986</v>
      </c>
      <c r="I229" s="84">
        <f t="shared" si="3"/>
        <v>4567.4388689947691</v>
      </c>
      <c r="J229" s="84">
        <f t="shared" si="4"/>
        <v>706631.53622954851</v>
      </c>
      <c r="K229" s="80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ht="15.75" customHeight="1" x14ac:dyDescent="0.25">
      <c r="A230" s="62"/>
      <c r="B230" s="62"/>
      <c r="C230" s="76"/>
      <c r="D230" s="77"/>
      <c r="E230" s="62"/>
      <c r="F230" s="83">
        <f t="shared" si="0"/>
        <v>227</v>
      </c>
      <c r="G230" s="84">
        <f t="shared" si="1"/>
        <v>6099.103400450068</v>
      </c>
      <c r="H230" s="84">
        <f t="shared" si="2"/>
        <v>1522.1490338115593</v>
      </c>
      <c r="I230" s="84">
        <f t="shared" si="3"/>
        <v>4576.9543666385089</v>
      </c>
      <c r="J230" s="84">
        <f t="shared" si="4"/>
        <v>702054.58186290995</v>
      </c>
      <c r="K230" s="80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ht="15.75" customHeight="1" x14ac:dyDescent="0.25">
      <c r="A231" s="62"/>
      <c r="B231" s="62"/>
      <c r="C231" s="76"/>
      <c r="D231" s="77"/>
      <c r="E231" s="62"/>
      <c r="F231" s="83">
        <f t="shared" si="0"/>
        <v>228</v>
      </c>
      <c r="G231" s="84">
        <f t="shared" si="1"/>
        <v>6099.103400450068</v>
      </c>
      <c r="H231" s="84">
        <f t="shared" si="2"/>
        <v>1512.6137122143957</v>
      </c>
      <c r="I231" s="84">
        <f t="shared" si="3"/>
        <v>4586.4896882356725</v>
      </c>
      <c r="J231" s="84">
        <f t="shared" si="4"/>
        <v>697468.09217467427</v>
      </c>
      <c r="K231" s="80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ht="15.75" customHeight="1" x14ac:dyDescent="0.25">
      <c r="A232" s="62"/>
      <c r="B232" s="62"/>
      <c r="C232" s="76"/>
      <c r="D232" s="77"/>
      <c r="E232" s="62"/>
      <c r="F232" s="83">
        <f t="shared" si="0"/>
        <v>229</v>
      </c>
      <c r="G232" s="84">
        <f t="shared" si="1"/>
        <v>6099.103400450068</v>
      </c>
      <c r="H232" s="84">
        <f t="shared" si="2"/>
        <v>1503.0585253639047</v>
      </c>
      <c r="I232" s="84">
        <f t="shared" si="3"/>
        <v>4596.0448750861633</v>
      </c>
      <c r="J232" s="84">
        <f t="shared" si="4"/>
        <v>692872.0472995881</v>
      </c>
      <c r="K232" s="80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ht="15.75" customHeight="1" x14ac:dyDescent="0.25">
      <c r="A233" s="62"/>
      <c r="B233" s="62"/>
      <c r="C233" s="76"/>
      <c r="D233" s="77"/>
      <c r="E233" s="62"/>
      <c r="F233" s="83">
        <f t="shared" si="0"/>
        <v>230</v>
      </c>
      <c r="G233" s="84">
        <f t="shared" si="1"/>
        <v>6099.103400450068</v>
      </c>
      <c r="H233" s="84">
        <f t="shared" si="2"/>
        <v>1493.4834318741421</v>
      </c>
      <c r="I233" s="84">
        <f t="shared" si="3"/>
        <v>4605.6199685759257</v>
      </c>
      <c r="J233" s="84">
        <f t="shared" si="4"/>
        <v>688266.42733101221</v>
      </c>
      <c r="K233" s="80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ht="15.75" customHeight="1" x14ac:dyDescent="0.25">
      <c r="A234" s="62"/>
      <c r="B234" s="62"/>
      <c r="C234" s="76"/>
      <c r="D234" s="77"/>
      <c r="E234" s="62"/>
      <c r="F234" s="83">
        <f t="shared" si="0"/>
        <v>231</v>
      </c>
      <c r="G234" s="84">
        <f t="shared" si="1"/>
        <v>6099.103400450068</v>
      </c>
      <c r="H234" s="84">
        <f t="shared" si="2"/>
        <v>1483.8883902729422</v>
      </c>
      <c r="I234" s="84">
        <f t="shared" si="3"/>
        <v>4615.2150101771258</v>
      </c>
      <c r="J234" s="84">
        <f t="shared" si="4"/>
        <v>683651.2123208351</v>
      </c>
      <c r="K234" s="80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ht="15.75" customHeight="1" x14ac:dyDescent="0.25">
      <c r="A235" s="62"/>
      <c r="B235" s="62"/>
      <c r="C235" s="76"/>
      <c r="D235" s="77"/>
      <c r="E235" s="62"/>
      <c r="F235" s="83">
        <f t="shared" si="0"/>
        <v>232</v>
      </c>
      <c r="G235" s="84">
        <f t="shared" si="1"/>
        <v>6099.103400450068</v>
      </c>
      <c r="H235" s="84">
        <f t="shared" si="2"/>
        <v>1474.2733590017399</v>
      </c>
      <c r="I235" s="84">
        <f t="shared" si="3"/>
        <v>4624.8300414483283</v>
      </c>
      <c r="J235" s="84">
        <f t="shared" si="4"/>
        <v>679026.38227938674</v>
      </c>
      <c r="K235" s="80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ht="15.75" customHeight="1" x14ac:dyDescent="0.25">
      <c r="A236" s="62"/>
      <c r="B236" s="62"/>
      <c r="C236" s="76"/>
      <c r="D236" s="77"/>
      <c r="E236" s="62"/>
      <c r="F236" s="83">
        <f t="shared" si="0"/>
        <v>233</v>
      </c>
      <c r="G236" s="84">
        <f t="shared" si="1"/>
        <v>6099.103400450068</v>
      </c>
      <c r="H236" s="84">
        <f t="shared" si="2"/>
        <v>1464.638296415389</v>
      </c>
      <c r="I236" s="84">
        <f t="shared" si="3"/>
        <v>4634.4651040346789</v>
      </c>
      <c r="J236" s="84">
        <f t="shared" si="4"/>
        <v>674391.91717535211</v>
      </c>
      <c r="K236" s="80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ht="15.75" customHeight="1" x14ac:dyDescent="0.25">
      <c r="A237" s="62"/>
      <c r="B237" s="62"/>
      <c r="C237" s="76"/>
      <c r="D237" s="77"/>
      <c r="E237" s="62"/>
      <c r="F237" s="83">
        <f t="shared" si="0"/>
        <v>234</v>
      </c>
      <c r="G237" s="84">
        <f t="shared" si="1"/>
        <v>6099.103400450068</v>
      </c>
      <c r="H237" s="84">
        <f t="shared" si="2"/>
        <v>1454.9831607819835</v>
      </c>
      <c r="I237" s="84">
        <f t="shared" si="3"/>
        <v>4644.1202396680847</v>
      </c>
      <c r="J237" s="84">
        <f t="shared" si="4"/>
        <v>669747.79693568405</v>
      </c>
      <c r="K237" s="80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ht="15.75" customHeight="1" x14ac:dyDescent="0.25">
      <c r="A238" s="62"/>
      <c r="B238" s="62"/>
      <c r="C238" s="76"/>
      <c r="D238" s="77"/>
      <c r="E238" s="62"/>
      <c r="F238" s="83">
        <f t="shared" si="0"/>
        <v>235</v>
      </c>
      <c r="G238" s="84">
        <f t="shared" si="1"/>
        <v>6099.103400450068</v>
      </c>
      <c r="H238" s="84">
        <f t="shared" si="2"/>
        <v>1445.307910282675</v>
      </c>
      <c r="I238" s="84">
        <f t="shared" si="3"/>
        <v>4653.7954901673929</v>
      </c>
      <c r="J238" s="84">
        <f t="shared" si="4"/>
        <v>665094.00144551671</v>
      </c>
      <c r="K238" s="80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ht="15.75" customHeight="1" x14ac:dyDescent="0.25">
      <c r="A239" s="62"/>
      <c r="B239" s="62"/>
      <c r="C239" s="76"/>
      <c r="D239" s="77"/>
      <c r="E239" s="62"/>
      <c r="F239" s="83">
        <f t="shared" si="0"/>
        <v>236</v>
      </c>
      <c r="G239" s="84">
        <f t="shared" si="1"/>
        <v>6099.103400450068</v>
      </c>
      <c r="H239" s="84">
        <f t="shared" si="2"/>
        <v>1435.6125030114933</v>
      </c>
      <c r="I239" s="84">
        <f t="shared" si="3"/>
        <v>4663.4908974385744</v>
      </c>
      <c r="J239" s="84">
        <f t="shared" si="4"/>
        <v>660430.51054807811</v>
      </c>
      <c r="K239" s="80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ht="15.75" customHeight="1" x14ac:dyDescent="0.25">
      <c r="A240" s="62"/>
      <c r="B240" s="62"/>
      <c r="C240" s="76"/>
      <c r="D240" s="77"/>
      <c r="E240" s="62"/>
      <c r="F240" s="83">
        <f t="shared" si="0"/>
        <v>237</v>
      </c>
      <c r="G240" s="84">
        <f t="shared" si="1"/>
        <v>6099.103400450068</v>
      </c>
      <c r="H240" s="84">
        <f t="shared" si="2"/>
        <v>1425.8968969751629</v>
      </c>
      <c r="I240" s="84">
        <f t="shared" si="3"/>
        <v>4673.2065034749048</v>
      </c>
      <c r="J240" s="84">
        <f t="shared" si="4"/>
        <v>655757.30404460325</v>
      </c>
      <c r="K240" s="80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ht="15.75" customHeight="1" x14ac:dyDescent="0.25">
      <c r="A241" s="62"/>
      <c r="B241" s="62"/>
      <c r="C241" s="76"/>
      <c r="D241" s="77"/>
      <c r="E241" s="62"/>
      <c r="F241" s="83">
        <f t="shared" si="0"/>
        <v>238</v>
      </c>
      <c r="G241" s="84">
        <f t="shared" si="1"/>
        <v>6099.103400450068</v>
      </c>
      <c r="H241" s="84">
        <f t="shared" si="2"/>
        <v>1416.1610500929235</v>
      </c>
      <c r="I241" s="84">
        <f t="shared" si="3"/>
        <v>4682.9423503571443</v>
      </c>
      <c r="J241" s="84">
        <f t="shared" si="4"/>
        <v>651074.36169424606</v>
      </c>
      <c r="K241" s="80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ht="15.75" customHeight="1" x14ac:dyDescent="0.25">
      <c r="A242" s="62"/>
      <c r="B242" s="62"/>
      <c r="C242" s="76"/>
      <c r="D242" s="77"/>
      <c r="E242" s="62"/>
      <c r="F242" s="83">
        <f t="shared" si="0"/>
        <v>239</v>
      </c>
      <c r="G242" s="84">
        <f t="shared" si="1"/>
        <v>6099.103400450068</v>
      </c>
      <c r="H242" s="84">
        <f t="shared" si="2"/>
        <v>1406.404920196346</v>
      </c>
      <c r="I242" s="84">
        <f t="shared" si="3"/>
        <v>4692.6984802537218</v>
      </c>
      <c r="J242" s="84">
        <f t="shared" si="4"/>
        <v>646381.66321399237</v>
      </c>
      <c r="K242" s="80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ht="15.75" customHeight="1" x14ac:dyDescent="0.25">
      <c r="A243" s="62"/>
      <c r="B243" s="62"/>
      <c r="C243" s="76"/>
      <c r="D243" s="77"/>
      <c r="E243" s="62"/>
      <c r="F243" s="83">
        <f t="shared" si="0"/>
        <v>240</v>
      </c>
      <c r="G243" s="84">
        <f t="shared" si="1"/>
        <v>6099.103400450068</v>
      </c>
      <c r="H243" s="84">
        <f t="shared" si="2"/>
        <v>1396.6284650291509</v>
      </c>
      <c r="I243" s="84">
        <f t="shared" si="3"/>
        <v>4702.4749354209171</v>
      </c>
      <c r="J243" s="84">
        <f t="shared" si="4"/>
        <v>641679.18827857147</v>
      </c>
      <c r="K243" s="80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ht="15.75" customHeight="1" x14ac:dyDescent="0.25">
      <c r="A244" s="62"/>
      <c r="B244" s="62"/>
      <c r="C244" s="76"/>
      <c r="D244" s="77"/>
      <c r="E244" s="62"/>
      <c r="F244" s="83">
        <f t="shared" si="0"/>
        <v>241</v>
      </c>
      <c r="G244" s="84">
        <f t="shared" si="1"/>
        <v>6099.103400450068</v>
      </c>
      <c r="H244" s="84">
        <f t="shared" si="2"/>
        <v>1386.8316422470241</v>
      </c>
      <c r="I244" s="84">
        <f t="shared" si="3"/>
        <v>4712.2717582030436</v>
      </c>
      <c r="J244" s="84">
        <f t="shared" si="4"/>
        <v>636966.91652036842</v>
      </c>
      <c r="K244" s="80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ht="15.75" customHeight="1" x14ac:dyDescent="0.25">
      <c r="A245" s="62"/>
      <c r="B245" s="62"/>
      <c r="C245" s="76"/>
      <c r="D245" s="77"/>
      <c r="E245" s="62"/>
      <c r="F245" s="83">
        <f t="shared" si="0"/>
        <v>242</v>
      </c>
      <c r="G245" s="84">
        <f t="shared" si="1"/>
        <v>6099.103400450068</v>
      </c>
      <c r="H245" s="84">
        <f t="shared" si="2"/>
        <v>1377.0144094174343</v>
      </c>
      <c r="I245" s="84">
        <f t="shared" si="3"/>
        <v>4722.0889910326332</v>
      </c>
      <c r="J245" s="84">
        <f t="shared" si="4"/>
        <v>632244.82752933574</v>
      </c>
      <c r="K245" s="80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ht="15.75" customHeight="1" x14ac:dyDescent="0.25">
      <c r="A246" s="62"/>
      <c r="B246" s="62"/>
      <c r="C246" s="76"/>
      <c r="D246" s="77"/>
      <c r="E246" s="62"/>
      <c r="F246" s="83">
        <f t="shared" si="0"/>
        <v>243</v>
      </c>
      <c r="G246" s="84">
        <f t="shared" si="1"/>
        <v>6099.103400450068</v>
      </c>
      <c r="H246" s="84">
        <f t="shared" si="2"/>
        <v>1367.1767240194495</v>
      </c>
      <c r="I246" s="84">
        <f t="shared" si="3"/>
        <v>4731.9266764306185</v>
      </c>
      <c r="J246" s="84">
        <f t="shared" si="4"/>
        <v>627512.90085290512</v>
      </c>
      <c r="K246" s="80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ht="15.75" customHeight="1" x14ac:dyDescent="0.25">
      <c r="A247" s="62"/>
      <c r="B247" s="62"/>
      <c r="C247" s="76"/>
      <c r="D247" s="77"/>
      <c r="E247" s="62"/>
      <c r="F247" s="83">
        <f t="shared" si="0"/>
        <v>244</v>
      </c>
      <c r="G247" s="84">
        <f t="shared" si="1"/>
        <v>6099.103400450068</v>
      </c>
      <c r="H247" s="84">
        <f t="shared" si="2"/>
        <v>1357.3185434435525</v>
      </c>
      <c r="I247" s="84">
        <f t="shared" si="3"/>
        <v>4741.7848570065153</v>
      </c>
      <c r="J247" s="84">
        <f t="shared" si="4"/>
        <v>622771.11599589861</v>
      </c>
      <c r="K247" s="80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15.75" customHeight="1" x14ac:dyDescent="0.25">
      <c r="A248" s="62"/>
      <c r="B248" s="62"/>
      <c r="C248" s="76"/>
      <c r="D248" s="77"/>
      <c r="E248" s="62"/>
      <c r="F248" s="83">
        <f t="shared" si="0"/>
        <v>245</v>
      </c>
      <c r="G248" s="84">
        <f t="shared" si="1"/>
        <v>6099.103400450068</v>
      </c>
      <c r="H248" s="84">
        <f t="shared" si="2"/>
        <v>1347.4398249914555</v>
      </c>
      <c r="I248" s="84">
        <f t="shared" si="3"/>
        <v>4751.6635754586123</v>
      </c>
      <c r="J248" s="84">
        <f t="shared" si="4"/>
        <v>618019.45242044004</v>
      </c>
      <c r="K248" s="80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15.75" customHeight="1" x14ac:dyDescent="0.25">
      <c r="A249" s="62"/>
      <c r="B249" s="62"/>
      <c r="C249" s="76"/>
      <c r="D249" s="77"/>
      <c r="E249" s="62"/>
      <c r="F249" s="83">
        <f t="shared" si="0"/>
        <v>246</v>
      </c>
      <c r="G249" s="84">
        <f t="shared" si="1"/>
        <v>6099.103400450068</v>
      </c>
      <c r="H249" s="84">
        <f t="shared" si="2"/>
        <v>1337.5405258759167</v>
      </c>
      <c r="I249" s="84">
        <f t="shared" si="3"/>
        <v>4761.5628745741515</v>
      </c>
      <c r="J249" s="84">
        <f t="shared" si="4"/>
        <v>613257.88954586594</v>
      </c>
      <c r="K249" s="80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15.75" customHeight="1" x14ac:dyDescent="0.25">
      <c r="A250" s="62"/>
      <c r="B250" s="62"/>
      <c r="C250" s="76"/>
      <c r="D250" s="77"/>
      <c r="E250" s="62"/>
      <c r="F250" s="83">
        <f t="shared" si="0"/>
        <v>247</v>
      </c>
      <c r="G250" s="84">
        <f t="shared" si="1"/>
        <v>6099.103400450068</v>
      </c>
      <c r="H250" s="84">
        <f t="shared" si="2"/>
        <v>1327.6206032205541</v>
      </c>
      <c r="I250" s="84">
        <f t="shared" si="3"/>
        <v>4771.4827972295134</v>
      </c>
      <c r="J250" s="84">
        <f t="shared" si="4"/>
        <v>608486.40674863639</v>
      </c>
      <c r="K250" s="80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15.75" customHeight="1" x14ac:dyDescent="0.25">
      <c r="A251" s="62"/>
      <c r="B251" s="62"/>
      <c r="C251" s="76"/>
      <c r="D251" s="77"/>
      <c r="E251" s="62"/>
      <c r="F251" s="83">
        <f t="shared" si="0"/>
        <v>248</v>
      </c>
      <c r="G251" s="84">
        <f t="shared" si="1"/>
        <v>6099.103400450068</v>
      </c>
      <c r="H251" s="84">
        <f t="shared" si="2"/>
        <v>1317.6800140596592</v>
      </c>
      <c r="I251" s="84">
        <f t="shared" si="3"/>
        <v>4781.4233863904083</v>
      </c>
      <c r="J251" s="84">
        <f t="shared" si="4"/>
        <v>603704.98336224596</v>
      </c>
      <c r="K251" s="80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15.75" customHeight="1" x14ac:dyDescent="0.25">
      <c r="A252" s="62"/>
      <c r="B252" s="62"/>
      <c r="C252" s="76"/>
      <c r="D252" s="77"/>
      <c r="E252" s="62"/>
      <c r="F252" s="83">
        <f t="shared" si="0"/>
        <v>249</v>
      </c>
      <c r="G252" s="84">
        <f t="shared" si="1"/>
        <v>6099.103400450068</v>
      </c>
      <c r="H252" s="84">
        <f t="shared" si="2"/>
        <v>1307.7187153380125</v>
      </c>
      <c r="I252" s="84">
        <f t="shared" si="3"/>
        <v>4791.3846851120552</v>
      </c>
      <c r="J252" s="84">
        <f t="shared" si="4"/>
        <v>598913.59867713391</v>
      </c>
      <c r="K252" s="80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15.75" customHeight="1" x14ac:dyDescent="0.25">
      <c r="A253" s="62"/>
      <c r="B253" s="62"/>
      <c r="C253" s="76"/>
      <c r="D253" s="77"/>
      <c r="E253" s="62"/>
      <c r="F253" s="83">
        <f t="shared" si="0"/>
        <v>250</v>
      </c>
      <c r="G253" s="84">
        <f t="shared" si="1"/>
        <v>6099.103400450068</v>
      </c>
      <c r="H253" s="84">
        <f t="shared" si="2"/>
        <v>1297.7366639106956</v>
      </c>
      <c r="I253" s="84">
        <f t="shared" si="3"/>
        <v>4801.3667365393721</v>
      </c>
      <c r="J253" s="84">
        <f t="shared" si="4"/>
        <v>594112.2319405945</v>
      </c>
      <c r="K253" s="80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15.75" customHeight="1" x14ac:dyDescent="0.25">
      <c r="A254" s="62"/>
      <c r="B254" s="62"/>
      <c r="C254" s="76"/>
      <c r="D254" s="77"/>
      <c r="E254" s="62"/>
      <c r="F254" s="83">
        <f t="shared" si="0"/>
        <v>251</v>
      </c>
      <c r="G254" s="84">
        <f t="shared" si="1"/>
        <v>6099.103400450068</v>
      </c>
      <c r="H254" s="84">
        <f t="shared" si="2"/>
        <v>1287.7338165429053</v>
      </c>
      <c r="I254" s="84">
        <f t="shared" si="3"/>
        <v>4811.3695839071625</v>
      </c>
      <c r="J254" s="84">
        <f t="shared" si="4"/>
        <v>589300.86235668731</v>
      </c>
      <c r="K254" s="80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15.75" customHeight="1" x14ac:dyDescent="0.25">
      <c r="A255" s="62"/>
      <c r="B255" s="62"/>
      <c r="C255" s="76"/>
      <c r="D255" s="77"/>
      <c r="E255" s="62"/>
      <c r="F255" s="83">
        <f t="shared" si="0"/>
        <v>252</v>
      </c>
      <c r="G255" s="84">
        <f t="shared" si="1"/>
        <v>6099.103400450068</v>
      </c>
      <c r="H255" s="84">
        <f t="shared" si="2"/>
        <v>1277.7101299097653</v>
      </c>
      <c r="I255" s="84">
        <f t="shared" si="3"/>
        <v>4821.3932705403022</v>
      </c>
      <c r="J255" s="84">
        <f t="shared" si="4"/>
        <v>584479.46908614703</v>
      </c>
      <c r="K255" s="80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15.75" customHeight="1" x14ac:dyDescent="0.25">
      <c r="A256" s="62"/>
      <c r="B256" s="62"/>
      <c r="C256" s="76"/>
      <c r="D256" s="77"/>
      <c r="E256" s="62"/>
      <c r="F256" s="83">
        <f t="shared" si="0"/>
        <v>253</v>
      </c>
      <c r="G256" s="84">
        <f t="shared" si="1"/>
        <v>6099.103400450068</v>
      </c>
      <c r="H256" s="84">
        <f t="shared" si="2"/>
        <v>1267.6655605961398</v>
      </c>
      <c r="I256" s="84">
        <f t="shared" si="3"/>
        <v>4831.4378398539284</v>
      </c>
      <c r="J256" s="84">
        <f t="shared" si="4"/>
        <v>579648.0312462931</v>
      </c>
      <c r="K256" s="80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15.75" customHeight="1" x14ac:dyDescent="0.25">
      <c r="A257" s="62"/>
      <c r="B257" s="62"/>
      <c r="C257" s="76"/>
      <c r="D257" s="77"/>
      <c r="E257" s="62"/>
      <c r="F257" s="83">
        <f t="shared" si="0"/>
        <v>254</v>
      </c>
      <c r="G257" s="84">
        <f t="shared" si="1"/>
        <v>6099.103400450068</v>
      </c>
      <c r="H257" s="84">
        <f t="shared" si="2"/>
        <v>1257.600065096444</v>
      </c>
      <c r="I257" s="84">
        <f t="shared" si="3"/>
        <v>4841.5033353536237</v>
      </c>
      <c r="J257" s="84">
        <f t="shared" si="4"/>
        <v>574806.52791093953</v>
      </c>
      <c r="K257" s="80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15.75" customHeight="1" x14ac:dyDescent="0.25">
      <c r="A258" s="62"/>
      <c r="B258" s="62"/>
      <c r="C258" s="76"/>
      <c r="D258" s="77"/>
      <c r="E258" s="62"/>
      <c r="F258" s="83">
        <f t="shared" si="0"/>
        <v>255</v>
      </c>
      <c r="G258" s="84">
        <f t="shared" si="1"/>
        <v>6099.103400450068</v>
      </c>
      <c r="H258" s="84">
        <f t="shared" si="2"/>
        <v>1247.5135998144574</v>
      </c>
      <c r="I258" s="84">
        <f t="shared" si="3"/>
        <v>4851.589800635611</v>
      </c>
      <c r="J258" s="84">
        <f t="shared" si="4"/>
        <v>569954.93811030395</v>
      </c>
      <c r="K258" s="80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15.75" customHeight="1" x14ac:dyDescent="0.25">
      <c r="A259" s="62"/>
      <c r="B259" s="62"/>
      <c r="C259" s="76"/>
      <c r="D259" s="77"/>
      <c r="E259" s="62"/>
      <c r="F259" s="83">
        <f t="shared" ref="F259:F513" si="18">IF(F258&lt;&gt;"",IF(J258&gt;1,F258+1,""),"")</f>
        <v>256</v>
      </c>
      <c r="G259" s="84">
        <f t="shared" ref="G259:G513" si="19">IF(F259&lt;&gt;"",IF(J258&gt;$C$15,$C$15,J258+H259),"")</f>
        <v>6099.103400450068</v>
      </c>
      <c r="H259" s="84">
        <f t="shared" ref="H259:H513" si="20">IF(F259&lt;&gt;"",J258*$C$4%/$C$7+$C$8,"")</f>
        <v>1237.4061210631332</v>
      </c>
      <c r="I259" s="84">
        <f t="shared" ref="I259:I513" si="21">IF(F259&lt;&gt;"",IF(F259&gt;$C$6*$C$7,G259-H259,0),"")</f>
        <v>4861.6972793869345</v>
      </c>
      <c r="J259" s="84">
        <f t="shared" ref="J259:J513" si="22">IF(F259&lt;&gt;"",J258-I259-K259,"")</f>
        <v>565093.24083091703</v>
      </c>
      <c r="K259" s="80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15.75" customHeight="1" x14ac:dyDescent="0.25">
      <c r="A260" s="62"/>
      <c r="B260" s="62"/>
      <c r="C260" s="76"/>
      <c r="D260" s="77"/>
      <c r="E260" s="62"/>
      <c r="F260" s="83">
        <f t="shared" si="18"/>
        <v>257</v>
      </c>
      <c r="G260" s="84">
        <f t="shared" si="19"/>
        <v>6099.103400450068</v>
      </c>
      <c r="H260" s="84">
        <f t="shared" si="20"/>
        <v>1227.2775850644105</v>
      </c>
      <c r="I260" s="84">
        <f t="shared" si="21"/>
        <v>4871.8258153856577</v>
      </c>
      <c r="J260" s="84">
        <f t="shared" si="22"/>
        <v>560221.41501553135</v>
      </c>
      <c r="K260" s="80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15.75" customHeight="1" x14ac:dyDescent="0.25">
      <c r="A261" s="62"/>
      <c r="B261" s="62"/>
      <c r="C261" s="76"/>
      <c r="D261" s="77"/>
      <c r="E261" s="62"/>
      <c r="F261" s="83">
        <f t="shared" si="18"/>
        <v>258</v>
      </c>
      <c r="G261" s="84">
        <f t="shared" si="19"/>
        <v>6099.103400450068</v>
      </c>
      <c r="H261" s="84">
        <f t="shared" si="20"/>
        <v>1217.1279479490238</v>
      </c>
      <c r="I261" s="84">
        <f t="shared" si="21"/>
        <v>4881.9754525010439</v>
      </c>
      <c r="J261" s="84">
        <f t="shared" si="22"/>
        <v>555339.43956303026</v>
      </c>
      <c r="K261" s="80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15.75" customHeight="1" x14ac:dyDescent="0.25">
      <c r="A262" s="62"/>
      <c r="B262" s="62"/>
      <c r="C262" s="76"/>
      <c r="D262" s="77"/>
      <c r="E262" s="62"/>
      <c r="F262" s="83">
        <f t="shared" si="18"/>
        <v>259</v>
      </c>
      <c r="G262" s="84">
        <f t="shared" si="19"/>
        <v>6099.103400450068</v>
      </c>
      <c r="H262" s="84">
        <f t="shared" si="20"/>
        <v>1206.9571657563131</v>
      </c>
      <c r="I262" s="84">
        <f t="shared" si="21"/>
        <v>4892.1462346937551</v>
      </c>
      <c r="J262" s="84">
        <f t="shared" si="22"/>
        <v>550447.29332833656</v>
      </c>
      <c r="K262" s="80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15.75" customHeight="1" x14ac:dyDescent="0.25">
      <c r="A263" s="62"/>
      <c r="B263" s="62"/>
      <c r="C263" s="76"/>
      <c r="D263" s="77"/>
      <c r="E263" s="62"/>
      <c r="F263" s="83">
        <f t="shared" si="18"/>
        <v>260</v>
      </c>
      <c r="G263" s="84">
        <f t="shared" si="19"/>
        <v>6099.103400450068</v>
      </c>
      <c r="H263" s="84">
        <f t="shared" si="20"/>
        <v>1196.7651944340346</v>
      </c>
      <c r="I263" s="84">
        <f t="shared" si="21"/>
        <v>4902.3382060160329</v>
      </c>
      <c r="J263" s="84">
        <f t="shared" si="22"/>
        <v>545544.95512232056</v>
      </c>
      <c r="K263" s="80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15.75" customHeight="1" x14ac:dyDescent="0.25">
      <c r="A264" s="62"/>
      <c r="B264" s="62"/>
      <c r="C264" s="76"/>
      <c r="D264" s="77"/>
      <c r="E264" s="62"/>
      <c r="F264" s="83">
        <f t="shared" si="18"/>
        <v>261</v>
      </c>
      <c r="G264" s="84">
        <f t="shared" si="19"/>
        <v>6099.103400450068</v>
      </c>
      <c r="H264" s="84">
        <f t="shared" si="20"/>
        <v>1186.5519898381679</v>
      </c>
      <c r="I264" s="84">
        <f t="shared" si="21"/>
        <v>4912.5514106118999</v>
      </c>
      <c r="J264" s="84">
        <f t="shared" si="22"/>
        <v>540632.40371170861</v>
      </c>
      <c r="K264" s="80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15.75" customHeight="1" x14ac:dyDescent="0.25">
      <c r="A265" s="62"/>
      <c r="B265" s="62"/>
      <c r="C265" s="76"/>
      <c r="D265" s="77"/>
      <c r="E265" s="62"/>
      <c r="F265" s="83">
        <f t="shared" si="18"/>
        <v>262</v>
      </c>
      <c r="G265" s="84">
        <f t="shared" si="19"/>
        <v>6099.103400450068</v>
      </c>
      <c r="H265" s="84">
        <f t="shared" si="20"/>
        <v>1176.3175077327262</v>
      </c>
      <c r="I265" s="84">
        <f t="shared" si="21"/>
        <v>4922.785892717342</v>
      </c>
      <c r="J265" s="84">
        <f t="shared" si="22"/>
        <v>535709.6178189913</v>
      </c>
      <c r="K265" s="80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15.75" customHeight="1" x14ac:dyDescent="0.25">
      <c r="A266" s="62"/>
      <c r="B266" s="62"/>
      <c r="C266" s="76"/>
      <c r="D266" s="77"/>
      <c r="E266" s="62"/>
      <c r="F266" s="83">
        <f t="shared" si="18"/>
        <v>263</v>
      </c>
      <c r="G266" s="84">
        <f t="shared" si="19"/>
        <v>6099.103400450068</v>
      </c>
      <c r="H266" s="84">
        <f t="shared" si="20"/>
        <v>1166.0617037895652</v>
      </c>
      <c r="I266" s="84">
        <f t="shared" si="21"/>
        <v>4933.0416966605026</v>
      </c>
      <c r="J266" s="84">
        <f t="shared" si="22"/>
        <v>530776.57612233085</v>
      </c>
      <c r="K266" s="80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15.75" customHeight="1" x14ac:dyDescent="0.25">
      <c r="A267" s="62"/>
      <c r="B267" s="62"/>
      <c r="C267" s="76"/>
      <c r="D267" s="77"/>
      <c r="E267" s="62"/>
      <c r="F267" s="83">
        <f t="shared" si="18"/>
        <v>264</v>
      </c>
      <c r="G267" s="84">
        <f t="shared" si="19"/>
        <v>6099.103400450068</v>
      </c>
      <c r="H267" s="84">
        <f t="shared" si="20"/>
        <v>1155.7845335881893</v>
      </c>
      <c r="I267" s="84">
        <f t="shared" si="21"/>
        <v>4943.3188668618786</v>
      </c>
      <c r="J267" s="84">
        <f t="shared" si="22"/>
        <v>525833.25725546898</v>
      </c>
      <c r="K267" s="80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15.75" customHeight="1" x14ac:dyDescent="0.25">
      <c r="A268" s="62"/>
      <c r="B268" s="62"/>
      <c r="C268" s="76"/>
      <c r="D268" s="77"/>
      <c r="E268" s="62"/>
      <c r="F268" s="83">
        <f t="shared" si="18"/>
        <v>265</v>
      </c>
      <c r="G268" s="84">
        <f t="shared" si="19"/>
        <v>6099.103400450068</v>
      </c>
      <c r="H268" s="84">
        <f t="shared" si="20"/>
        <v>1145.4859526155603</v>
      </c>
      <c r="I268" s="84">
        <f t="shared" si="21"/>
        <v>4953.6174478345074</v>
      </c>
      <c r="J268" s="84">
        <f t="shared" si="22"/>
        <v>520879.63980763446</v>
      </c>
      <c r="K268" s="80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15.75" customHeight="1" x14ac:dyDescent="0.25">
      <c r="A269" s="62"/>
      <c r="B269" s="62"/>
      <c r="C269" s="76"/>
      <c r="D269" s="77"/>
      <c r="E269" s="62"/>
      <c r="F269" s="83">
        <f t="shared" si="18"/>
        <v>266</v>
      </c>
      <c r="G269" s="84">
        <f t="shared" si="19"/>
        <v>6099.103400450068</v>
      </c>
      <c r="H269" s="84">
        <f t="shared" si="20"/>
        <v>1135.1659162659053</v>
      </c>
      <c r="I269" s="84">
        <f t="shared" si="21"/>
        <v>4963.9374841841627</v>
      </c>
      <c r="J269" s="84">
        <f t="shared" si="22"/>
        <v>515915.7023234503</v>
      </c>
      <c r="K269" s="80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15.75" customHeight="1" x14ac:dyDescent="0.25">
      <c r="A270" s="62"/>
      <c r="B270" s="62"/>
      <c r="C270" s="76"/>
      <c r="D270" s="77"/>
      <c r="E270" s="62"/>
      <c r="F270" s="83">
        <f t="shared" si="18"/>
        <v>267</v>
      </c>
      <c r="G270" s="84">
        <f t="shared" si="19"/>
        <v>6099.103400450068</v>
      </c>
      <c r="H270" s="84">
        <f t="shared" si="20"/>
        <v>1124.8243798405215</v>
      </c>
      <c r="I270" s="84">
        <f t="shared" si="21"/>
        <v>4974.2790206095469</v>
      </c>
      <c r="J270" s="84">
        <f t="shared" si="22"/>
        <v>510941.42330284073</v>
      </c>
      <c r="K270" s="80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15.75" customHeight="1" x14ac:dyDescent="0.25">
      <c r="A271" s="62"/>
      <c r="B271" s="62"/>
      <c r="C271" s="76"/>
      <c r="D271" s="77"/>
      <c r="E271" s="62"/>
      <c r="F271" s="83">
        <f t="shared" si="18"/>
        <v>268</v>
      </c>
      <c r="G271" s="84">
        <f t="shared" si="19"/>
        <v>6099.103400450068</v>
      </c>
      <c r="H271" s="84">
        <f t="shared" si="20"/>
        <v>1114.4612985475849</v>
      </c>
      <c r="I271" s="84">
        <f t="shared" si="21"/>
        <v>4984.6421019024829</v>
      </c>
      <c r="J271" s="84">
        <f t="shared" si="22"/>
        <v>505956.78120093828</v>
      </c>
      <c r="K271" s="80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15.75" customHeight="1" x14ac:dyDescent="0.25">
      <c r="A272" s="62"/>
      <c r="B272" s="62"/>
      <c r="C272" s="76"/>
      <c r="D272" s="77"/>
      <c r="E272" s="62"/>
      <c r="F272" s="83">
        <f t="shared" si="18"/>
        <v>269</v>
      </c>
      <c r="G272" s="84">
        <f t="shared" si="19"/>
        <v>6099.103400450068</v>
      </c>
      <c r="H272" s="84">
        <f t="shared" si="20"/>
        <v>1104.0766275019548</v>
      </c>
      <c r="I272" s="84">
        <f t="shared" si="21"/>
        <v>4995.0267729481129</v>
      </c>
      <c r="J272" s="84">
        <f t="shared" si="22"/>
        <v>500961.75442799018</v>
      </c>
      <c r="K272" s="80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15.75" customHeight="1" x14ac:dyDescent="0.25">
      <c r="A273" s="62"/>
      <c r="B273" s="62"/>
      <c r="C273" s="76"/>
      <c r="D273" s="77"/>
      <c r="E273" s="62"/>
      <c r="F273" s="83">
        <f t="shared" si="18"/>
        <v>270</v>
      </c>
      <c r="G273" s="84">
        <f t="shared" si="19"/>
        <v>6099.103400450068</v>
      </c>
      <c r="H273" s="84">
        <f t="shared" si="20"/>
        <v>1093.6703217249797</v>
      </c>
      <c r="I273" s="84">
        <f t="shared" si="21"/>
        <v>5005.4330787250883</v>
      </c>
      <c r="J273" s="84">
        <f t="shared" si="22"/>
        <v>495956.32134926511</v>
      </c>
      <c r="K273" s="80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15.75" customHeight="1" x14ac:dyDescent="0.25">
      <c r="A274" s="62"/>
      <c r="B274" s="62"/>
      <c r="C274" s="76"/>
      <c r="D274" s="77"/>
      <c r="E274" s="62"/>
      <c r="F274" s="83">
        <f t="shared" si="18"/>
        <v>271</v>
      </c>
      <c r="G274" s="84">
        <f t="shared" si="19"/>
        <v>6099.103400450068</v>
      </c>
      <c r="H274" s="84">
        <f t="shared" si="20"/>
        <v>1083.2423361443023</v>
      </c>
      <c r="I274" s="84">
        <f t="shared" si="21"/>
        <v>5015.8610643057655</v>
      </c>
      <c r="J274" s="84">
        <f t="shared" si="22"/>
        <v>490940.46028495935</v>
      </c>
      <c r="K274" s="80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15.75" customHeight="1" x14ac:dyDescent="0.25">
      <c r="A275" s="62"/>
      <c r="B275" s="62"/>
      <c r="C275" s="76"/>
      <c r="D275" s="77"/>
      <c r="E275" s="62"/>
      <c r="F275" s="83">
        <f t="shared" si="18"/>
        <v>272</v>
      </c>
      <c r="G275" s="84">
        <f t="shared" si="19"/>
        <v>6099.103400450068</v>
      </c>
      <c r="H275" s="84">
        <f t="shared" si="20"/>
        <v>1072.7926255936654</v>
      </c>
      <c r="I275" s="84">
        <f t="shared" si="21"/>
        <v>5026.3107748564025</v>
      </c>
      <c r="J275" s="84">
        <f t="shared" si="22"/>
        <v>485914.14951010293</v>
      </c>
      <c r="K275" s="80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15.75" customHeight="1" x14ac:dyDescent="0.25">
      <c r="A276" s="62"/>
      <c r="B276" s="62"/>
      <c r="C276" s="76"/>
      <c r="D276" s="77"/>
      <c r="E276" s="62"/>
      <c r="F276" s="83">
        <f t="shared" si="18"/>
        <v>273</v>
      </c>
      <c r="G276" s="84">
        <f t="shared" si="19"/>
        <v>6099.103400450068</v>
      </c>
      <c r="H276" s="84">
        <f t="shared" si="20"/>
        <v>1062.3211448127145</v>
      </c>
      <c r="I276" s="84">
        <f t="shared" si="21"/>
        <v>5036.782255637354</v>
      </c>
      <c r="J276" s="84">
        <f t="shared" si="22"/>
        <v>480877.36725446559</v>
      </c>
      <c r="K276" s="80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15.75" customHeight="1" x14ac:dyDescent="0.25">
      <c r="A277" s="62"/>
      <c r="B277" s="62"/>
      <c r="C277" s="76"/>
      <c r="D277" s="77"/>
      <c r="E277" s="62"/>
      <c r="F277" s="83">
        <f t="shared" si="18"/>
        <v>274</v>
      </c>
      <c r="G277" s="84">
        <f t="shared" si="19"/>
        <v>6099.103400450068</v>
      </c>
      <c r="H277" s="84">
        <f t="shared" si="20"/>
        <v>1051.8278484468033</v>
      </c>
      <c r="I277" s="84">
        <f t="shared" si="21"/>
        <v>5047.2755520032642</v>
      </c>
      <c r="J277" s="84">
        <f t="shared" si="22"/>
        <v>475830.09170246235</v>
      </c>
      <c r="K277" s="80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15.75" customHeight="1" x14ac:dyDescent="0.25">
      <c r="A278" s="62"/>
      <c r="B278" s="62"/>
      <c r="C278" s="76"/>
      <c r="D278" s="77"/>
      <c r="E278" s="62"/>
      <c r="F278" s="83">
        <f t="shared" si="18"/>
        <v>275</v>
      </c>
      <c r="G278" s="84">
        <f t="shared" si="19"/>
        <v>6099.103400450068</v>
      </c>
      <c r="H278" s="84">
        <f t="shared" si="20"/>
        <v>1041.3126910467968</v>
      </c>
      <c r="I278" s="84">
        <f t="shared" si="21"/>
        <v>5057.7907094032707</v>
      </c>
      <c r="J278" s="84">
        <f t="shared" si="22"/>
        <v>470772.30099305906</v>
      </c>
      <c r="K278" s="80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15.75" customHeight="1" x14ac:dyDescent="0.25">
      <c r="A279" s="62"/>
      <c r="B279" s="62"/>
      <c r="C279" s="76"/>
      <c r="D279" s="77"/>
      <c r="E279" s="62"/>
      <c r="F279" s="83">
        <f t="shared" si="18"/>
        <v>276</v>
      </c>
      <c r="G279" s="84">
        <f t="shared" si="19"/>
        <v>6099.103400450068</v>
      </c>
      <c r="H279" s="84">
        <f t="shared" si="20"/>
        <v>1030.7756270688733</v>
      </c>
      <c r="I279" s="84">
        <f t="shared" si="21"/>
        <v>5068.3277733811947</v>
      </c>
      <c r="J279" s="84">
        <f t="shared" si="22"/>
        <v>465703.97321967786</v>
      </c>
      <c r="K279" s="80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15.75" customHeight="1" x14ac:dyDescent="0.25">
      <c r="A280" s="62"/>
      <c r="B280" s="62"/>
      <c r="C280" s="76"/>
      <c r="D280" s="77"/>
      <c r="E280" s="62"/>
      <c r="F280" s="83">
        <f t="shared" si="18"/>
        <v>277</v>
      </c>
      <c r="G280" s="84">
        <f t="shared" si="19"/>
        <v>6099.103400450068</v>
      </c>
      <c r="H280" s="84">
        <f t="shared" si="20"/>
        <v>1020.2166108743289</v>
      </c>
      <c r="I280" s="84">
        <f t="shared" si="21"/>
        <v>5078.8867895757394</v>
      </c>
      <c r="J280" s="84">
        <f t="shared" si="22"/>
        <v>460625.08643010212</v>
      </c>
      <c r="K280" s="80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15.75" customHeight="1" x14ac:dyDescent="0.25">
      <c r="A281" s="62"/>
      <c r="B281" s="62"/>
      <c r="C281" s="76"/>
      <c r="D281" s="77"/>
      <c r="E281" s="62"/>
      <c r="F281" s="83">
        <f t="shared" si="18"/>
        <v>278</v>
      </c>
      <c r="G281" s="84">
        <f t="shared" si="19"/>
        <v>6099.103400450068</v>
      </c>
      <c r="H281" s="84">
        <f t="shared" si="20"/>
        <v>1009.6355967293795</v>
      </c>
      <c r="I281" s="84">
        <f t="shared" si="21"/>
        <v>5089.4678037206886</v>
      </c>
      <c r="J281" s="84">
        <f t="shared" si="22"/>
        <v>455535.61862638145</v>
      </c>
      <c r="K281" s="80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15.75" customHeight="1" x14ac:dyDescent="0.25">
      <c r="A282" s="62"/>
      <c r="B282" s="62"/>
      <c r="C282" s="76"/>
      <c r="D282" s="77"/>
      <c r="E282" s="62"/>
      <c r="F282" s="83">
        <f t="shared" si="18"/>
        <v>279</v>
      </c>
      <c r="G282" s="84">
        <f t="shared" si="19"/>
        <v>6099.103400450068</v>
      </c>
      <c r="H282" s="84">
        <f t="shared" si="20"/>
        <v>999.0325388049614</v>
      </c>
      <c r="I282" s="84">
        <f t="shared" si="21"/>
        <v>5100.0708616451066</v>
      </c>
      <c r="J282" s="84">
        <f t="shared" si="22"/>
        <v>450435.54776473634</v>
      </c>
      <c r="K282" s="80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15.75" customHeight="1" x14ac:dyDescent="0.25">
      <c r="A283" s="62"/>
      <c r="B283" s="62"/>
      <c r="C283" s="76"/>
      <c r="D283" s="77"/>
      <c r="E283" s="62"/>
      <c r="F283" s="83">
        <f t="shared" si="18"/>
        <v>280</v>
      </c>
      <c r="G283" s="84">
        <f t="shared" si="19"/>
        <v>6099.103400450068</v>
      </c>
      <c r="H283" s="84">
        <f t="shared" si="20"/>
        <v>988.40739117653413</v>
      </c>
      <c r="I283" s="84">
        <f t="shared" si="21"/>
        <v>5110.6960092735335</v>
      </c>
      <c r="J283" s="84">
        <f t="shared" si="22"/>
        <v>445324.85175546282</v>
      </c>
      <c r="K283" s="80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15.75" customHeight="1" x14ac:dyDescent="0.25">
      <c r="A284" s="62"/>
      <c r="B284" s="62"/>
      <c r="C284" s="76"/>
      <c r="D284" s="77"/>
      <c r="E284" s="62"/>
      <c r="F284" s="83">
        <f t="shared" si="18"/>
        <v>281</v>
      </c>
      <c r="G284" s="84">
        <f t="shared" si="19"/>
        <v>6099.103400450068</v>
      </c>
      <c r="H284" s="84">
        <f t="shared" si="20"/>
        <v>977.76010782388096</v>
      </c>
      <c r="I284" s="84">
        <f t="shared" si="21"/>
        <v>5121.3432926261867</v>
      </c>
      <c r="J284" s="84">
        <f t="shared" si="22"/>
        <v>440203.50846283662</v>
      </c>
      <c r="K284" s="80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15.75" customHeight="1" x14ac:dyDescent="0.25">
      <c r="A285" s="62"/>
      <c r="B285" s="62"/>
      <c r="C285" s="76"/>
      <c r="D285" s="77"/>
      <c r="E285" s="62"/>
      <c r="F285" s="83">
        <f t="shared" si="18"/>
        <v>282</v>
      </c>
      <c r="G285" s="84">
        <f t="shared" si="19"/>
        <v>6099.103400450068</v>
      </c>
      <c r="H285" s="84">
        <f t="shared" si="20"/>
        <v>967.09064263090966</v>
      </c>
      <c r="I285" s="84">
        <f t="shared" si="21"/>
        <v>5132.0127578191587</v>
      </c>
      <c r="J285" s="84">
        <f t="shared" si="22"/>
        <v>435071.49570501747</v>
      </c>
      <c r="K285" s="80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15.75" customHeight="1" x14ac:dyDescent="0.25">
      <c r="A286" s="62"/>
      <c r="B286" s="62"/>
      <c r="C286" s="76"/>
      <c r="D286" s="77"/>
      <c r="E286" s="62"/>
      <c r="F286" s="83">
        <f t="shared" si="18"/>
        <v>283</v>
      </c>
      <c r="G286" s="84">
        <f t="shared" si="19"/>
        <v>6099.103400450068</v>
      </c>
      <c r="H286" s="84">
        <f t="shared" si="20"/>
        <v>956.39894938545319</v>
      </c>
      <c r="I286" s="84">
        <f t="shared" si="21"/>
        <v>5142.7044510646147</v>
      </c>
      <c r="J286" s="84">
        <f t="shared" si="22"/>
        <v>429928.79125395283</v>
      </c>
      <c r="K286" s="80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15.75" customHeight="1" x14ac:dyDescent="0.25">
      <c r="A287" s="62"/>
      <c r="B287" s="62"/>
      <c r="C287" s="76"/>
      <c r="D287" s="77"/>
      <c r="E287" s="62"/>
      <c r="F287" s="83">
        <f t="shared" si="18"/>
        <v>284</v>
      </c>
      <c r="G287" s="84">
        <f t="shared" si="19"/>
        <v>6099.103400450068</v>
      </c>
      <c r="H287" s="84">
        <f t="shared" si="20"/>
        <v>945.68498177906849</v>
      </c>
      <c r="I287" s="84">
        <f t="shared" si="21"/>
        <v>5153.418418670999</v>
      </c>
      <c r="J287" s="84">
        <f t="shared" si="22"/>
        <v>424775.37283528183</v>
      </c>
      <c r="K287" s="80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15.75" customHeight="1" x14ac:dyDescent="0.25">
      <c r="A288" s="62"/>
      <c r="B288" s="62"/>
      <c r="C288" s="76"/>
      <c r="D288" s="77"/>
      <c r="E288" s="62"/>
      <c r="F288" s="83">
        <f t="shared" si="18"/>
        <v>285</v>
      </c>
      <c r="G288" s="84">
        <f t="shared" si="19"/>
        <v>6099.103400450068</v>
      </c>
      <c r="H288" s="84">
        <f t="shared" si="20"/>
        <v>934.94869340683726</v>
      </c>
      <c r="I288" s="84">
        <f t="shared" si="21"/>
        <v>5164.1547070432307</v>
      </c>
      <c r="J288" s="84">
        <f t="shared" si="22"/>
        <v>419611.21812823857</v>
      </c>
      <c r="K288" s="80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15.75" customHeight="1" x14ac:dyDescent="0.25">
      <c r="A289" s="62"/>
      <c r="B289" s="62"/>
      <c r="C289" s="76"/>
      <c r="D289" s="77"/>
      <c r="E289" s="62"/>
      <c r="F289" s="83">
        <f t="shared" si="18"/>
        <v>286</v>
      </c>
      <c r="G289" s="84">
        <f t="shared" si="19"/>
        <v>6099.103400450068</v>
      </c>
      <c r="H289" s="84">
        <f t="shared" si="20"/>
        <v>924.19003776716374</v>
      </c>
      <c r="I289" s="84">
        <f t="shared" si="21"/>
        <v>5174.9133626829043</v>
      </c>
      <c r="J289" s="84">
        <f t="shared" si="22"/>
        <v>414436.30476555566</v>
      </c>
      <c r="K289" s="80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15.75" customHeight="1" x14ac:dyDescent="0.25">
      <c r="A290" s="62"/>
      <c r="B290" s="62"/>
      <c r="C290" s="76"/>
      <c r="D290" s="77"/>
      <c r="E290" s="62"/>
      <c r="F290" s="83">
        <f t="shared" si="18"/>
        <v>287</v>
      </c>
      <c r="G290" s="84">
        <f t="shared" si="19"/>
        <v>6099.103400450068</v>
      </c>
      <c r="H290" s="84">
        <f t="shared" si="20"/>
        <v>913.40896826157439</v>
      </c>
      <c r="I290" s="84">
        <f t="shared" si="21"/>
        <v>5185.6944321884939</v>
      </c>
      <c r="J290" s="84">
        <f t="shared" si="22"/>
        <v>409250.61033336719</v>
      </c>
      <c r="K290" s="80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15.75" customHeight="1" x14ac:dyDescent="0.25">
      <c r="A291" s="62"/>
      <c r="B291" s="62"/>
      <c r="C291" s="76"/>
      <c r="D291" s="77"/>
      <c r="E291" s="62"/>
      <c r="F291" s="83">
        <f t="shared" si="18"/>
        <v>288</v>
      </c>
      <c r="G291" s="84">
        <f t="shared" si="19"/>
        <v>6099.103400450068</v>
      </c>
      <c r="H291" s="84">
        <f t="shared" si="20"/>
        <v>902.60543819451505</v>
      </c>
      <c r="I291" s="84">
        <f t="shared" si="21"/>
        <v>5196.4979622555529</v>
      </c>
      <c r="J291" s="84">
        <f t="shared" si="22"/>
        <v>404054.11237111164</v>
      </c>
      <c r="K291" s="80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15.75" customHeight="1" x14ac:dyDescent="0.25">
      <c r="A292" s="62"/>
      <c r="B292" s="62"/>
      <c r="C292" s="76"/>
      <c r="D292" s="77"/>
      <c r="E292" s="62"/>
      <c r="F292" s="83">
        <f t="shared" si="18"/>
        <v>289</v>
      </c>
      <c r="G292" s="84">
        <f t="shared" si="19"/>
        <v>6099.103400450068</v>
      </c>
      <c r="H292" s="84">
        <f t="shared" si="20"/>
        <v>891.7794007731494</v>
      </c>
      <c r="I292" s="84">
        <f t="shared" si="21"/>
        <v>5207.3239996769189</v>
      </c>
      <c r="J292" s="84">
        <f t="shared" si="22"/>
        <v>398846.78837143473</v>
      </c>
      <c r="K292" s="80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15.75" customHeight="1" x14ac:dyDescent="0.25">
      <c r="A293" s="62"/>
      <c r="B293" s="62"/>
      <c r="C293" s="76"/>
      <c r="D293" s="77"/>
      <c r="E293" s="62"/>
      <c r="F293" s="83">
        <f t="shared" si="18"/>
        <v>290</v>
      </c>
      <c r="G293" s="84">
        <f t="shared" si="19"/>
        <v>6099.103400450068</v>
      </c>
      <c r="H293" s="84">
        <f t="shared" si="20"/>
        <v>880.93080910715571</v>
      </c>
      <c r="I293" s="84">
        <f t="shared" si="21"/>
        <v>5218.1725913429127</v>
      </c>
      <c r="J293" s="84">
        <f t="shared" si="22"/>
        <v>393628.61578009179</v>
      </c>
      <c r="K293" s="80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15.75" customHeight="1" x14ac:dyDescent="0.25">
      <c r="A294" s="62"/>
      <c r="B294" s="62"/>
      <c r="C294" s="76"/>
      <c r="D294" s="77"/>
      <c r="E294" s="62"/>
      <c r="F294" s="83">
        <f t="shared" si="18"/>
        <v>291</v>
      </c>
      <c r="G294" s="84">
        <f t="shared" si="19"/>
        <v>6099.103400450068</v>
      </c>
      <c r="H294" s="84">
        <f t="shared" si="20"/>
        <v>870.05961620852452</v>
      </c>
      <c r="I294" s="84">
        <f t="shared" si="21"/>
        <v>5229.0437842415431</v>
      </c>
      <c r="J294" s="84">
        <f t="shared" si="22"/>
        <v>388399.57199585025</v>
      </c>
      <c r="K294" s="80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15.75" customHeight="1" x14ac:dyDescent="0.25">
      <c r="A295" s="62"/>
      <c r="B295" s="62"/>
      <c r="C295" s="76"/>
      <c r="D295" s="77"/>
      <c r="E295" s="62"/>
      <c r="F295" s="83">
        <f t="shared" si="18"/>
        <v>292</v>
      </c>
      <c r="G295" s="84">
        <f t="shared" si="19"/>
        <v>6099.103400450068</v>
      </c>
      <c r="H295" s="84">
        <f t="shared" si="20"/>
        <v>859.16577499135474</v>
      </c>
      <c r="I295" s="84">
        <f t="shared" si="21"/>
        <v>5239.9376254587132</v>
      </c>
      <c r="J295" s="84">
        <f t="shared" si="22"/>
        <v>383159.63437039155</v>
      </c>
      <c r="K295" s="80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15.75" customHeight="1" x14ac:dyDescent="0.25">
      <c r="A296" s="62"/>
      <c r="B296" s="62"/>
      <c r="C296" s="76"/>
      <c r="D296" s="77"/>
      <c r="E296" s="62"/>
      <c r="F296" s="83">
        <f t="shared" si="18"/>
        <v>293</v>
      </c>
      <c r="G296" s="84">
        <f t="shared" si="19"/>
        <v>6099.103400450068</v>
      </c>
      <c r="H296" s="84">
        <f t="shared" si="20"/>
        <v>848.24923827164912</v>
      </c>
      <c r="I296" s="84">
        <f t="shared" si="21"/>
        <v>5250.8541621784188</v>
      </c>
      <c r="J296" s="84">
        <f t="shared" si="22"/>
        <v>377908.78020821314</v>
      </c>
      <c r="K296" s="80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15.75" customHeight="1" x14ac:dyDescent="0.25">
      <c r="A297" s="62"/>
      <c r="B297" s="62"/>
      <c r="C297" s="76"/>
      <c r="D297" s="77"/>
      <c r="E297" s="62"/>
      <c r="F297" s="83">
        <f t="shared" si="18"/>
        <v>294</v>
      </c>
      <c r="G297" s="84">
        <f t="shared" si="19"/>
        <v>6099.103400450068</v>
      </c>
      <c r="H297" s="84">
        <f t="shared" si="20"/>
        <v>837.30995876711074</v>
      </c>
      <c r="I297" s="84">
        <f t="shared" si="21"/>
        <v>5261.7934416829576</v>
      </c>
      <c r="J297" s="84">
        <f t="shared" si="22"/>
        <v>372646.9867665302</v>
      </c>
      <c r="K297" s="80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15.75" customHeight="1" x14ac:dyDescent="0.25">
      <c r="A298" s="62"/>
      <c r="B298" s="62"/>
      <c r="C298" s="76"/>
      <c r="D298" s="77"/>
      <c r="E298" s="62"/>
      <c r="F298" s="83">
        <f t="shared" si="18"/>
        <v>295</v>
      </c>
      <c r="G298" s="84">
        <f t="shared" si="19"/>
        <v>6099.103400450068</v>
      </c>
      <c r="H298" s="84">
        <f t="shared" si="20"/>
        <v>826.34788909693805</v>
      </c>
      <c r="I298" s="84">
        <f t="shared" si="21"/>
        <v>5272.7555113531298</v>
      </c>
      <c r="J298" s="84">
        <f t="shared" si="22"/>
        <v>367374.23125517706</v>
      </c>
      <c r="K298" s="80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15.75" customHeight="1" x14ac:dyDescent="0.25">
      <c r="A299" s="62"/>
      <c r="B299" s="62"/>
      <c r="C299" s="76"/>
      <c r="D299" s="77"/>
      <c r="E299" s="62"/>
      <c r="F299" s="83">
        <f t="shared" si="18"/>
        <v>296</v>
      </c>
      <c r="G299" s="84">
        <f t="shared" si="19"/>
        <v>6099.103400450068</v>
      </c>
      <c r="H299" s="84">
        <f t="shared" si="20"/>
        <v>815.36298178161894</v>
      </c>
      <c r="I299" s="84">
        <f t="shared" si="21"/>
        <v>5283.7404186684489</v>
      </c>
      <c r="J299" s="84">
        <f t="shared" si="22"/>
        <v>362090.49083650863</v>
      </c>
      <c r="K299" s="80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15.75" customHeight="1" x14ac:dyDescent="0.25">
      <c r="A300" s="62"/>
      <c r="B300" s="62"/>
      <c r="C300" s="76"/>
      <c r="D300" s="77"/>
      <c r="E300" s="62"/>
      <c r="F300" s="83">
        <f t="shared" si="18"/>
        <v>297</v>
      </c>
      <c r="G300" s="84">
        <f t="shared" si="19"/>
        <v>6099.103400450068</v>
      </c>
      <c r="H300" s="84">
        <f t="shared" si="20"/>
        <v>804.35518924272628</v>
      </c>
      <c r="I300" s="84">
        <f t="shared" si="21"/>
        <v>5294.7482112073412</v>
      </c>
      <c r="J300" s="84">
        <f t="shared" si="22"/>
        <v>356795.7426253013</v>
      </c>
      <c r="K300" s="80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15.75" customHeight="1" x14ac:dyDescent="0.25">
      <c r="A301" s="62"/>
      <c r="B301" s="62"/>
      <c r="C301" s="76"/>
      <c r="D301" s="77"/>
      <c r="E301" s="62"/>
      <c r="F301" s="83">
        <f t="shared" si="18"/>
        <v>298</v>
      </c>
      <c r="G301" s="84">
        <f t="shared" si="19"/>
        <v>6099.103400450068</v>
      </c>
      <c r="H301" s="84">
        <f t="shared" si="20"/>
        <v>793.32446380271097</v>
      </c>
      <c r="I301" s="84">
        <f t="shared" si="21"/>
        <v>5305.7789366473571</v>
      </c>
      <c r="J301" s="84">
        <f t="shared" si="22"/>
        <v>351489.96368865395</v>
      </c>
      <c r="K301" s="80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15.75" customHeight="1" x14ac:dyDescent="0.25">
      <c r="A302" s="62"/>
      <c r="B302" s="62"/>
      <c r="C302" s="76"/>
      <c r="D302" s="77"/>
      <c r="E302" s="62"/>
      <c r="F302" s="83">
        <f t="shared" si="18"/>
        <v>299</v>
      </c>
      <c r="G302" s="84">
        <f t="shared" si="19"/>
        <v>6099.103400450068</v>
      </c>
      <c r="H302" s="84">
        <f t="shared" si="20"/>
        <v>782.2707576846957</v>
      </c>
      <c r="I302" s="84">
        <f t="shared" si="21"/>
        <v>5316.8326427653719</v>
      </c>
      <c r="J302" s="84">
        <f t="shared" si="22"/>
        <v>346173.13104588859</v>
      </c>
      <c r="K302" s="80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15.75" customHeight="1" x14ac:dyDescent="0.25">
      <c r="A303" s="62"/>
      <c r="B303" s="62"/>
      <c r="C303" s="76"/>
      <c r="D303" s="77"/>
      <c r="E303" s="62"/>
      <c r="F303" s="83">
        <f t="shared" si="18"/>
        <v>300</v>
      </c>
      <c r="G303" s="84">
        <f t="shared" si="19"/>
        <v>6099.103400450068</v>
      </c>
      <c r="H303" s="84">
        <f t="shared" si="20"/>
        <v>771.19402301226785</v>
      </c>
      <c r="I303" s="84">
        <f t="shared" si="21"/>
        <v>5327.9093774377998</v>
      </c>
      <c r="J303" s="84">
        <f t="shared" si="22"/>
        <v>340845.2216684508</v>
      </c>
      <c r="K303" s="80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15.75" customHeight="1" x14ac:dyDescent="0.25">
      <c r="A304" s="62"/>
      <c r="B304" s="62"/>
      <c r="C304" s="76"/>
      <c r="D304" s="77"/>
      <c r="E304" s="62"/>
      <c r="F304" s="83">
        <f t="shared" si="18"/>
        <v>301</v>
      </c>
      <c r="G304" s="84">
        <f t="shared" si="19"/>
        <v>6099.103400450068</v>
      </c>
      <c r="H304" s="84">
        <f t="shared" si="20"/>
        <v>760.09421180927257</v>
      </c>
      <c r="I304" s="84">
        <f t="shared" si="21"/>
        <v>5339.0091886407954</v>
      </c>
      <c r="J304" s="84">
        <f t="shared" si="22"/>
        <v>335506.21247981</v>
      </c>
      <c r="K304" s="80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15.75" customHeight="1" x14ac:dyDescent="0.25">
      <c r="A305" s="62"/>
      <c r="B305" s="62"/>
      <c r="C305" s="76"/>
      <c r="D305" s="77"/>
      <c r="E305" s="62"/>
      <c r="F305" s="83">
        <f t="shared" si="18"/>
        <v>302</v>
      </c>
      <c r="G305" s="84">
        <f t="shared" si="19"/>
        <v>6099.103400450068</v>
      </c>
      <c r="H305" s="84">
        <f t="shared" si="20"/>
        <v>748.97127599960413</v>
      </c>
      <c r="I305" s="84">
        <f t="shared" si="21"/>
        <v>5350.1321244504634</v>
      </c>
      <c r="J305" s="84">
        <f t="shared" si="22"/>
        <v>330156.08035535953</v>
      </c>
      <c r="K305" s="80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15.75" customHeight="1" x14ac:dyDescent="0.25">
      <c r="A306" s="62"/>
      <c r="B306" s="62"/>
      <c r="C306" s="76"/>
      <c r="D306" s="77"/>
      <c r="E306" s="62"/>
      <c r="F306" s="83">
        <f t="shared" si="18"/>
        <v>303</v>
      </c>
      <c r="G306" s="84">
        <f t="shared" si="19"/>
        <v>6099.103400450068</v>
      </c>
      <c r="H306" s="84">
        <f t="shared" si="20"/>
        <v>737.82516740699896</v>
      </c>
      <c r="I306" s="84">
        <f t="shared" si="21"/>
        <v>5361.2782330430691</v>
      </c>
      <c r="J306" s="84">
        <f t="shared" si="22"/>
        <v>324794.80212231644</v>
      </c>
      <c r="K306" s="80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15.75" customHeight="1" x14ac:dyDescent="0.25">
      <c r="A307" s="62"/>
      <c r="B307" s="62"/>
      <c r="C307" s="76"/>
      <c r="D307" s="77"/>
      <c r="E307" s="62"/>
      <c r="F307" s="83">
        <f t="shared" si="18"/>
        <v>304</v>
      </c>
      <c r="G307" s="84">
        <f t="shared" si="19"/>
        <v>6099.103400450068</v>
      </c>
      <c r="H307" s="84">
        <f t="shared" si="20"/>
        <v>726.65583775482594</v>
      </c>
      <c r="I307" s="84">
        <f t="shared" si="21"/>
        <v>5372.4475626952417</v>
      </c>
      <c r="J307" s="84">
        <f t="shared" si="22"/>
        <v>319422.35455962119</v>
      </c>
      <c r="K307" s="80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15.75" customHeight="1" x14ac:dyDescent="0.25">
      <c r="A308" s="62"/>
      <c r="B308" s="62"/>
      <c r="C308" s="76"/>
      <c r="D308" s="77"/>
      <c r="E308" s="62"/>
      <c r="F308" s="83">
        <f t="shared" si="18"/>
        <v>305</v>
      </c>
      <c r="G308" s="84">
        <f t="shared" si="19"/>
        <v>6099.103400450068</v>
      </c>
      <c r="H308" s="84">
        <f t="shared" si="20"/>
        <v>715.4632386658775</v>
      </c>
      <c r="I308" s="84">
        <f t="shared" si="21"/>
        <v>5383.6401617841902</v>
      </c>
      <c r="J308" s="84">
        <f t="shared" si="22"/>
        <v>314038.714397837</v>
      </c>
      <c r="K308" s="80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15.75" customHeight="1" x14ac:dyDescent="0.25">
      <c r="A309" s="62"/>
      <c r="B309" s="62"/>
      <c r="C309" s="76"/>
      <c r="D309" s="77"/>
      <c r="E309" s="62"/>
      <c r="F309" s="83">
        <f t="shared" si="18"/>
        <v>306</v>
      </c>
      <c r="G309" s="84">
        <f t="shared" si="19"/>
        <v>6099.103400450068</v>
      </c>
      <c r="H309" s="84">
        <f t="shared" si="20"/>
        <v>704.24732166216052</v>
      </c>
      <c r="I309" s="84">
        <f t="shared" si="21"/>
        <v>5394.8560787879078</v>
      </c>
      <c r="J309" s="84">
        <f t="shared" si="22"/>
        <v>308643.85831904912</v>
      </c>
      <c r="K309" s="80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15.75" customHeight="1" x14ac:dyDescent="0.25">
      <c r="A310" s="62"/>
      <c r="B310" s="62"/>
      <c r="C310" s="76"/>
      <c r="D310" s="77"/>
      <c r="E310" s="62"/>
      <c r="F310" s="83">
        <f t="shared" si="18"/>
        <v>307</v>
      </c>
      <c r="G310" s="84">
        <f t="shared" si="19"/>
        <v>6099.103400450068</v>
      </c>
      <c r="H310" s="84">
        <f t="shared" si="20"/>
        <v>693.00803816468567</v>
      </c>
      <c r="I310" s="84">
        <f t="shared" si="21"/>
        <v>5406.0953622853822</v>
      </c>
      <c r="J310" s="84">
        <f t="shared" si="22"/>
        <v>303237.76295676373</v>
      </c>
      <c r="K310" s="80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15.75" customHeight="1" x14ac:dyDescent="0.25">
      <c r="A311" s="62"/>
      <c r="B311" s="62"/>
      <c r="C311" s="76"/>
      <c r="D311" s="77"/>
      <c r="E311" s="62"/>
      <c r="F311" s="83">
        <f t="shared" si="18"/>
        <v>308</v>
      </c>
      <c r="G311" s="84">
        <f t="shared" si="19"/>
        <v>6099.103400450068</v>
      </c>
      <c r="H311" s="84">
        <f t="shared" si="20"/>
        <v>681.7453394932578</v>
      </c>
      <c r="I311" s="84">
        <f t="shared" si="21"/>
        <v>5417.3580609568098</v>
      </c>
      <c r="J311" s="84">
        <f t="shared" si="22"/>
        <v>297820.40489580692</v>
      </c>
      <c r="K311" s="80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15.75" customHeight="1" x14ac:dyDescent="0.25">
      <c r="A312" s="62"/>
      <c r="B312" s="62"/>
      <c r="C312" s="76"/>
      <c r="D312" s="77"/>
      <c r="E312" s="62"/>
      <c r="F312" s="83">
        <f t="shared" si="18"/>
        <v>309</v>
      </c>
      <c r="G312" s="84">
        <f t="shared" si="19"/>
        <v>6099.103400450068</v>
      </c>
      <c r="H312" s="84">
        <f t="shared" si="20"/>
        <v>670.45917686626444</v>
      </c>
      <c r="I312" s="84">
        <f t="shared" si="21"/>
        <v>5428.644223583804</v>
      </c>
      <c r="J312" s="84">
        <f t="shared" si="22"/>
        <v>292391.76067222311</v>
      </c>
      <c r="K312" s="80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15.75" customHeight="1" x14ac:dyDescent="0.25">
      <c r="A313" s="62"/>
      <c r="B313" s="62"/>
      <c r="C313" s="76"/>
      <c r="D313" s="77"/>
      <c r="E313" s="62"/>
      <c r="F313" s="83">
        <f t="shared" si="18"/>
        <v>310</v>
      </c>
      <c r="G313" s="84">
        <f t="shared" si="19"/>
        <v>6099.103400450068</v>
      </c>
      <c r="H313" s="84">
        <f t="shared" si="20"/>
        <v>659.14950140046483</v>
      </c>
      <c r="I313" s="84">
        <f t="shared" si="21"/>
        <v>5439.953899049603</v>
      </c>
      <c r="J313" s="84">
        <f t="shared" si="22"/>
        <v>286951.80677317351</v>
      </c>
      <c r="K313" s="80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15.75" customHeight="1" x14ac:dyDescent="0.25">
      <c r="A314" s="62"/>
      <c r="B314" s="62"/>
      <c r="C314" s="76"/>
      <c r="D314" s="77"/>
      <c r="E314" s="62"/>
      <c r="F314" s="83">
        <f t="shared" si="18"/>
        <v>311</v>
      </c>
      <c r="G314" s="84">
        <f t="shared" si="19"/>
        <v>6099.103400450068</v>
      </c>
      <c r="H314" s="84">
        <f t="shared" si="20"/>
        <v>647.81626411077821</v>
      </c>
      <c r="I314" s="84">
        <f t="shared" si="21"/>
        <v>5451.2871363392896</v>
      </c>
      <c r="J314" s="84">
        <f t="shared" si="22"/>
        <v>281500.51963683421</v>
      </c>
      <c r="K314" s="80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15.75" customHeight="1" x14ac:dyDescent="0.25">
      <c r="A315" s="62"/>
      <c r="B315" s="62"/>
      <c r="C315" s="76"/>
      <c r="D315" s="77"/>
      <c r="E315" s="62"/>
      <c r="F315" s="83">
        <f t="shared" si="18"/>
        <v>312</v>
      </c>
      <c r="G315" s="84">
        <f t="shared" si="19"/>
        <v>6099.103400450068</v>
      </c>
      <c r="H315" s="84">
        <f t="shared" si="20"/>
        <v>636.45941591007124</v>
      </c>
      <c r="I315" s="84">
        <f t="shared" si="21"/>
        <v>5462.6439845399964</v>
      </c>
      <c r="J315" s="84">
        <f t="shared" si="22"/>
        <v>276037.8756522942</v>
      </c>
      <c r="K315" s="80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15.75" customHeight="1" x14ac:dyDescent="0.25">
      <c r="A316" s="62"/>
      <c r="B316" s="62"/>
      <c r="C316" s="76"/>
      <c r="D316" s="77"/>
      <c r="E316" s="62"/>
      <c r="F316" s="83">
        <f t="shared" si="18"/>
        <v>313</v>
      </c>
      <c r="G316" s="84">
        <f t="shared" si="19"/>
        <v>6099.103400450068</v>
      </c>
      <c r="H316" s="84">
        <f t="shared" si="20"/>
        <v>625.07890760894622</v>
      </c>
      <c r="I316" s="84">
        <f t="shared" si="21"/>
        <v>5474.0244928411221</v>
      </c>
      <c r="J316" s="84">
        <f t="shared" si="22"/>
        <v>270563.8511594531</v>
      </c>
      <c r="K316" s="80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15.75" customHeight="1" x14ac:dyDescent="0.25">
      <c r="A317" s="62"/>
      <c r="B317" s="62"/>
      <c r="C317" s="76"/>
      <c r="D317" s="77"/>
      <c r="E317" s="62"/>
      <c r="F317" s="83">
        <f t="shared" si="18"/>
        <v>314</v>
      </c>
      <c r="G317" s="84">
        <f t="shared" si="19"/>
        <v>6099.103400450068</v>
      </c>
      <c r="H317" s="84">
        <f t="shared" si="20"/>
        <v>613.67468991552732</v>
      </c>
      <c r="I317" s="84">
        <f t="shared" si="21"/>
        <v>5485.4287105345411</v>
      </c>
      <c r="J317" s="84">
        <f t="shared" si="22"/>
        <v>265078.42244891857</v>
      </c>
      <c r="K317" s="80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15.75" customHeight="1" x14ac:dyDescent="0.25">
      <c r="A318" s="62"/>
      <c r="B318" s="62"/>
      <c r="C318" s="76"/>
      <c r="D318" s="77"/>
      <c r="E318" s="62"/>
      <c r="F318" s="83">
        <f t="shared" si="18"/>
        <v>315</v>
      </c>
      <c r="G318" s="84">
        <f t="shared" si="19"/>
        <v>6099.103400450068</v>
      </c>
      <c r="H318" s="84">
        <f t="shared" si="20"/>
        <v>602.24671343524699</v>
      </c>
      <c r="I318" s="84">
        <f t="shared" si="21"/>
        <v>5496.8566870148206</v>
      </c>
      <c r="J318" s="84">
        <f t="shared" si="22"/>
        <v>259581.56576190377</v>
      </c>
      <c r="K318" s="80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15.75" customHeight="1" x14ac:dyDescent="0.25">
      <c r="A319" s="62"/>
      <c r="B319" s="62"/>
      <c r="C319" s="76"/>
      <c r="D319" s="77"/>
      <c r="E319" s="62"/>
      <c r="F319" s="83">
        <f t="shared" si="18"/>
        <v>316</v>
      </c>
      <c r="G319" s="84">
        <f t="shared" si="19"/>
        <v>6099.103400450068</v>
      </c>
      <c r="H319" s="84">
        <f t="shared" si="20"/>
        <v>590.79492867063288</v>
      </c>
      <c r="I319" s="84">
        <f t="shared" si="21"/>
        <v>5508.3084717794354</v>
      </c>
      <c r="J319" s="84">
        <f t="shared" si="22"/>
        <v>254073.25729012434</v>
      </c>
      <c r="K319" s="80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15.75" customHeight="1" x14ac:dyDescent="0.25">
      <c r="A320" s="62"/>
      <c r="B320" s="62"/>
      <c r="C320" s="76"/>
      <c r="D320" s="77"/>
      <c r="E320" s="62"/>
      <c r="F320" s="83">
        <f t="shared" si="18"/>
        <v>317</v>
      </c>
      <c r="G320" s="84">
        <f t="shared" si="19"/>
        <v>6099.103400450068</v>
      </c>
      <c r="H320" s="84">
        <f t="shared" si="20"/>
        <v>579.31928602109235</v>
      </c>
      <c r="I320" s="84">
        <f t="shared" si="21"/>
        <v>5519.784114428976</v>
      </c>
      <c r="J320" s="84">
        <f t="shared" si="22"/>
        <v>248553.47317569537</v>
      </c>
      <c r="K320" s="80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15.75" customHeight="1" x14ac:dyDescent="0.25">
      <c r="A321" s="62"/>
      <c r="B321" s="62"/>
      <c r="C321" s="76"/>
      <c r="D321" s="77"/>
      <c r="E321" s="62"/>
      <c r="F321" s="83">
        <f t="shared" si="18"/>
        <v>318</v>
      </c>
      <c r="G321" s="84">
        <f t="shared" si="19"/>
        <v>6099.103400450068</v>
      </c>
      <c r="H321" s="84">
        <f t="shared" si="20"/>
        <v>567.81973578269879</v>
      </c>
      <c r="I321" s="84">
        <f t="shared" si="21"/>
        <v>5531.2836646673695</v>
      </c>
      <c r="J321" s="84">
        <f t="shared" si="22"/>
        <v>243022.189511028</v>
      </c>
      <c r="K321" s="80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15.75" customHeight="1" x14ac:dyDescent="0.25">
      <c r="A322" s="62"/>
      <c r="B322" s="62"/>
      <c r="C322" s="76"/>
      <c r="D322" s="77"/>
      <c r="E322" s="62"/>
      <c r="F322" s="83">
        <f t="shared" si="18"/>
        <v>319</v>
      </c>
      <c r="G322" s="84">
        <f t="shared" si="19"/>
        <v>6099.103400450068</v>
      </c>
      <c r="H322" s="84">
        <f t="shared" si="20"/>
        <v>556.29622814797494</v>
      </c>
      <c r="I322" s="84">
        <f t="shared" si="21"/>
        <v>5542.807172302093</v>
      </c>
      <c r="J322" s="84">
        <f t="shared" si="22"/>
        <v>237479.3823387259</v>
      </c>
      <c r="K322" s="80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15.75" customHeight="1" x14ac:dyDescent="0.25">
      <c r="A323" s="62"/>
      <c r="B323" s="62"/>
      <c r="C323" s="76"/>
      <c r="D323" s="77"/>
      <c r="E323" s="62"/>
      <c r="F323" s="83">
        <f t="shared" si="18"/>
        <v>320</v>
      </c>
      <c r="G323" s="84">
        <f t="shared" si="19"/>
        <v>6099.103400450068</v>
      </c>
      <c r="H323" s="84">
        <f t="shared" si="20"/>
        <v>544.748713205679</v>
      </c>
      <c r="I323" s="84">
        <f t="shared" si="21"/>
        <v>5554.3546872443894</v>
      </c>
      <c r="J323" s="84">
        <f t="shared" si="22"/>
        <v>231925.02765148151</v>
      </c>
      <c r="K323" s="80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15.75" customHeight="1" x14ac:dyDescent="0.25">
      <c r="A324" s="62"/>
      <c r="B324" s="62"/>
      <c r="C324" s="76"/>
      <c r="D324" s="77"/>
      <c r="E324" s="62"/>
      <c r="F324" s="83">
        <f t="shared" si="18"/>
        <v>321</v>
      </c>
      <c r="G324" s="84">
        <f t="shared" si="19"/>
        <v>6099.103400450068</v>
      </c>
      <c r="H324" s="84">
        <f t="shared" si="20"/>
        <v>533.17714094058647</v>
      </c>
      <c r="I324" s="84">
        <f t="shared" si="21"/>
        <v>5565.9262595094815</v>
      </c>
      <c r="J324" s="84">
        <f t="shared" si="22"/>
        <v>226359.10139197201</v>
      </c>
      <c r="K324" s="80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15.75" customHeight="1" x14ac:dyDescent="0.25">
      <c r="A325" s="62"/>
      <c r="B325" s="62"/>
      <c r="C325" s="76"/>
      <c r="D325" s="77"/>
      <c r="E325" s="62"/>
      <c r="F325" s="83">
        <f t="shared" si="18"/>
        <v>322</v>
      </c>
      <c r="G325" s="84">
        <f t="shared" si="19"/>
        <v>6099.103400450068</v>
      </c>
      <c r="H325" s="84">
        <f t="shared" si="20"/>
        <v>521.58146123327515</v>
      </c>
      <c r="I325" s="84">
        <f t="shared" si="21"/>
        <v>5577.5219392167928</v>
      </c>
      <c r="J325" s="84">
        <f t="shared" si="22"/>
        <v>220781.57945275522</v>
      </c>
      <c r="K325" s="80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15.75" customHeight="1" x14ac:dyDescent="0.25">
      <c r="A326" s="62"/>
      <c r="B326" s="62"/>
      <c r="C326" s="76"/>
      <c r="D326" s="77"/>
      <c r="E326" s="62"/>
      <c r="F326" s="83">
        <f t="shared" si="18"/>
        <v>323</v>
      </c>
      <c r="G326" s="84">
        <f t="shared" si="19"/>
        <v>6099.103400450068</v>
      </c>
      <c r="H326" s="84">
        <f t="shared" si="20"/>
        <v>509.96162385990675</v>
      </c>
      <c r="I326" s="84">
        <f t="shared" si="21"/>
        <v>5589.1417765901615</v>
      </c>
      <c r="J326" s="84">
        <f t="shared" si="22"/>
        <v>215192.43767616505</v>
      </c>
      <c r="K326" s="80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15.75" customHeight="1" x14ac:dyDescent="0.25">
      <c r="A327" s="62"/>
      <c r="B327" s="62"/>
      <c r="C327" s="76"/>
      <c r="D327" s="77"/>
      <c r="E327" s="62"/>
      <c r="F327" s="83">
        <f t="shared" si="18"/>
        <v>324</v>
      </c>
      <c r="G327" s="84">
        <f t="shared" si="19"/>
        <v>6099.103400450068</v>
      </c>
      <c r="H327" s="84">
        <f t="shared" si="20"/>
        <v>498.31757849201057</v>
      </c>
      <c r="I327" s="84">
        <f t="shared" si="21"/>
        <v>5600.7858219580576</v>
      </c>
      <c r="J327" s="84">
        <f t="shared" si="22"/>
        <v>209591.65185420698</v>
      </c>
      <c r="K327" s="80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15.75" customHeight="1" x14ac:dyDescent="0.25">
      <c r="A328" s="62"/>
      <c r="B328" s="62"/>
      <c r="C328" s="76"/>
      <c r="D328" s="77"/>
      <c r="E328" s="62"/>
      <c r="F328" s="83">
        <f t="shared" si="18"/>
        <v>325</v>
      </c>
      <c r="G328" s="84">
        <f t="shared" si="19"/>
        <v>6099.103400450068</v>
      </c>
      <c r="H328" s="84">
        <f t="shared" si="20"/>
        <v>486.64927469626463</v>
      </c>
      <c r="I328" s="84">
        <f t="shared" si="21"/>
        <v>5612.4541257538031</v>
      </c>
      <c r="J328" s="84">
        <f t="shared" si="22"/>
        <v>203979.19772845317</v>
      </c>
      <c r="K328" s="80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15.75" customHeight="1" x14ac:dyDescent="0.25">
      <c r="A329" s="62"/>
      <c r="B329" s="62"/>
      <c r="C329" s="76"/>
      <c r="D329" s="77"/>
      <c r="E329" s="62"/>
      <c r="F329" s="83">
        <f t="shared" si="18"/>
        <v>326</v>
      </c>
      <c r="G329" s="84">
        <f t="shared" si="19"/>
        <v>6099.103400450068</v>
      </c>
      <c r="H329" s="84">
        <f t="shared" si="20"/>
        <v>474.95666193427746</v>
      </c>
      <c r="I329" s="84">
        <f t="shared" si="21"/>
        <v>5624.1467385157903</v>
      </c>
      <c r="J329" s="84">
        <f t="shared" si="22"/>
        <v>198355.05098993739</v>
      </c>
      <c r="K329" s="80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15.75" customHeight="1" x14ac:dyDescent="0.25">
      <c r="A330" s="62"/>
      <c r="B330" s="62"/>
      <c r="C330" s="76"/>
      <c r="D330" s="77"/>
      <c r="E330" s="62"/>
      <c r="F330" s="83">
        <f t="shared" si="18"/>
        <v>327</v>
      </c>
      <c r="G330" s="84">
        <f t="shared" si="19"/>
        <v>6099.103400450068</v>
      </c>
      <c r="H330" s="84">
        <f t="shared" si="20"/>
        <v>463.23968956236962</v>
      </c>
      <c r="I330" s="84">
        <f t="shared" si="21"/>
        <v>5635.8637108876983</v>
      </c>
      <c r="J330" s="84">
        <f t="shared" si="22"/>
        <v>192719.18727904969</v>
      </c>
      <c r="K330" s="80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15.75" customHeight="1" x14ac:dyDescent="0.25">
      <c r="A331" s="62"/>
      <c r="B331" s="62"/>
      <c r="C331" s="76"/>
      <c r="D331" s="77"/>
      <c r="E331" s="62"/>
      <c r="F331" s="83">
        <f t="shared" si="18"/>
        <v>328</v>
      </c>
      <c r="G331" s="84">
        <f t="shared" si="19"/>
        <v>6099.103400450068</v>
      </c>
      <c r="H331" s="84">
        <f t="shared" si="20"/>
        <v>451.49830683135355</v>
      </c>
      <c r="I331" s="84">
        <f t="shared" si="21"/>
        <v>5647.6050936187148</v>
      </c>
      <c r="J331" s="84">
        <f t="shared" si="22"/>
        <v>187071.58218543098</v>
      </c>
      <c r="K331" s="80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15.75" customHeight="1" x14ac:dyDescent="0.25">
      <c r="A332" s="62"/>
      <c r="B332" s="62"/>
      <c r="C332" s="76"/>
      <c r="D332" s="77"/>
      <c r="E332" s="62"/>
      <c r="F332" s="83">
        <f t="shared" si="18"/>
        <v>329</v>
      </c>
      <c r="G332" s="84">
        <f t="shared" si="19"/>
        <v>6099.103400450068</v>
      </c>
      <c r="H332" s="84">
        <f t="shared" si="20"/>
        <v>439.73246288631458</v>
      </c>
      <c r="I332" s="84">
        <f t="shared" si="21"/>
        <v>5659.3709375637536</v>
      </c>
      <c r="J332" s="84">
        <f t="shared" si="22"/>
        <v>181412.21124786724</v>
      </c>
      <c r="K332" s="80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15.75" customHeight="1" x14ac:dyDescent="0.25">
      <c r="A333" s="62"/>
      <c r="B333" s="62"/>
      <c r="C333" s="76"/>
      <c r="D333" s="77"/>
      <c r="E333" s="62"/>
      <c r="F333" s="83">
        <f t="shared" si="18"/>
        <v>330</v>
      </c>
      <c r="G333" s="84">
        <f t="shared" si="19"/>
        <v>6099.103400450068</v>
      </c>
      <c r="H333" s="84">
        <f t="shared" si="20"/>
        <v>427.94210676639005</v>
      </c>
      <c r="I333" s="84">
        <f t="shared" si="21"/>
        <v>5671.1612936836782</v>
      </c>
      <c r="J333" s="84">
        <f t="shared" si="22"/>
        <v>175741.04995418355</v>
      </c>
      <c r="K333" s="80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15.75" customHeight="1" x14ac:dyDescent="0.25">
      <c r="A334" s="62"/>
      <c r="B334" s="62"/>
      <c r="C334" s="76"/>
      <c r="D334" s="77"/>
      <c r="E334" s="62"/>
      <c r="F334" s="83">
        <f t="shared" si="18"/>
        <v>331</v>
      </c>
      <c r="G334" s="84">
        <f t="shared" si="19"/>
        <v>6099.103400450068</v>
      </c>
      <c r="H334" s="84">
        <f t="shared" si="20"/>
        <v>416.12718740454903</v>
      </c>
      <c r="I334" s="84">
        <f t="shared" si="21"/>
        <v>5682.9762130455192</v>
      </c>
      <c r="J334" s="84">
        <f t="shared" si="22"/>
        <v>170058.07374113804</v>
      </c>
      <c r="K334" s="80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15.75" customHeight="1" x14ac:dyDescent="0.25">
      <c r="A335" s="62"/>
      <c r="B335" s="62"/>
      <c r="C335" s="76"/>
      <c r="D335" s="77"/>
      <c r="E335" s="62"/>
      <c r="F335" s="83">
        <f t="shared" si="18"/>
        <v>332</v>
      </c>
      <c r="G335" s="84">
        <f t="shared" si="19"/>
        <v>6099.103400450068</v>
      </c>
      <c r="H335" s="84">
        <f t="shared" si="20"/>
        <v>404.2876536273709</v>
      </c>
      <c r="I335" s="84">
        <f t="shared" si="21"/>
        <v>5694.8157468226973</v>
      </c>
      <c r="J335" s="84">
        <f t="shared" si="22"/>
        <v>164363.25799431535</v>
      </c>
      <c r="K335" s="80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15.75" customHeight="1" x14ac:dyDescent="0.25">
      <c r="A336" s="62"/>
      <c r="B336" s="62"/>
      <c r="C336" s="76"/>
      <c r="D336" s="77"/>
      <c r="E336" s="62"/>
      <c r="F336" s="83">
        <f t="shared" si="18"/>
        <v>333</v>
      </c>
      <c r="G336" s="84">
        <f t="shared" si="19"/>
        <v>6099.103400450068</v>
      </c>
      <c r="H336" s="84">
        <f t="shared" si="20"/>
        <v>392.42345415482367</v>
      </c>
      <c r="I336" s="84">
        <f t="shared" si="21"/>
        <v>5706.679946295244</v>
      </c>
      <c r="J336" s="84">
        <f t="shared" si="22"/>
        <v>158656.57804802011</v>
      </c>
      <c r="K336" s="80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15.75" customHeight="1" x14ac:dyDescent="0.25">
      <c r="A337" s="62"/>
      <c r="B337" s="62"/>
      <c r="C337" s="76"/>
      <c r="D337" s="77"/>
      <c r="E337" s="62"/>
      <c r="F337" s="83">
        <f t="shared" si="18"/>
        <v>334</v>
      </c>
      <c r="G337" s="84">
        <f t="shared" si="19"/>
        <v>6099.103400450068</v>
      </c>
      <c r="H337" s="84">
        <f t="shared" si="20"/>
        <v>380.53453760004192</v>
      </c>
      <c r="I337" s="84">
        <f t="shared" si="21"/>
        <v>5718.5688628500257</v>
      </c>
      <c r="J337" s="84">
        <f t="shared" si="22"/>
        <v>152938.00918517009</v>
      </c>
      <c r="K337" s="80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15.75" customHeight="1" x14ac:dyDescent="0.25">
      <c r="A338" s="62"/>
      <c r="B338" s="62"/>
      <c r="C338" s="76"/>
      <c r="D338" s="77"/>
      <c r="E338" s="62"/>
      <c r="F338" s="83">
        <f t="shared" si="18"/>
        <v>335</v>
      </c>
      <c r="G338" s="84">
        <f t="shared" si="19"/>
        <v>6099.103400450068</v>
      </c>
      <c r="H338" s="84">
        <f t="shared" si="20"/>
        <v>368.62085246910436</v>
      </c>
      <c r="I338" s="84">
        <f t="shared" si="21"/>
        <v>5730.4825479809633</v>
      </c>
      <c r="J338" s="84">
        <f t="shared" si="22"/>
        <v>147207.52663718912</v>
      </c>
      <c r="K338" s="80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15.75" customHeight="1" x14ac:dyDescent="0.25">
      <c r="A339" s="62"/>
      <c r="B339" s="62"/>
      <c r="C339" s="76"/>
      <c r="D339" s="77"/>
      <c r="E339" s="62"/>
      <c r="F339" s="83">
        <f t="shared" si="18"/>
        <v>336</v>
      </c>
      <c r="G339" s="84">
        <f t="shared" si="19"/>
        <v>6099.103400450068</v>
      </c>
      <c r="H339" s="84">
        <f t="shared" si="20"/>
        <v>356.68234716081071</v>
      </c>
      <c r="I339" s="84">
        <f t="shared" si="21"/>
        <v>5742.4210532892575</v>
      </c>
      <c r="J339" s="84">
        <f t="shared" si="22"/>
        <v>141465.10558389986</v>
      </c>
      <c r="K339" s="80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15.75" customHeight="1" x14ac:dyDescent="0.25">
      <c r="A340" s="62"/>
      <c r="B340" s="62"/>
      <c r="C340" s="76"/>
      <c r="D340" s="77"/>
      <c r="E340" s="62"/>
      <c r="F340" s="83">
        <f t="shared" si="18"/>
        <v>337</v>
      </c>
      <c r="G340" s="84">
        <f t="shared" si="19"/>
        <v>6099.103400450068</v>
      </c>
      <c r="H340" s="84">
        <f t="shared" si="20"/>
        <v>344.71896996645802</v>
      </c>
      <c r="I340" s="84">
        <f t="shared" si="21"/>
        <v>5754.3844304836102</v>
      </c>
      <c r="J340" s="84">
        <f t="shared" si="22"/>
        <v>135710.72115341623</v>
      </c>
      <c r="K340" s="80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15.75" customHeight="1" x14ac:dyDescent="0.25">
      <c r="A341" s="62"/>
      <c r="B341" s="62"/>
      <c r="C341" s="76"/>
      <c r="D341" s="77"/>
      <c r="E341" s="62"/>
      <c r="F341" s="83">
        <f t="shared" si="18"/>
        <v>338</v>
      </c>
      <c r="G341" s="84">
        <f t="shared" si="19"/>
        <v>6099.103400450068</v>
      </c>
      <c r="H341" s="84">
        <f t="shared" si="20"/>
        <v>332.73066906961714</v>
      </c>
      <c r="I341" s="84">
        <f t="shared" si="21"/>
        <v>5766.3727313804511</v>
      </c>
      <c r="J341" s="84">
        <f t="shared" si="22"/>
        <v>129944.34842203578</v>
      </c>
      <c r="K341" s="80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15.75" customHeight="1" x14ac:dyDescent="0.25">
      <c r="A342" s="62"/>
      <c r="B342" s="62"/>
      <c r="C342" s="76"/>
      <c r="D342" s="77"/>
      <c r="E342" s="62"/>
      <c r="F342" s="83">
        <f t="shared" si="18"/>
        <v>339</v>
      </c>
      <c r="G342" s="84">
        <f t="shared" si="19"/>
        <v>6099.103400450068</v>
      </c>
      <c r="H342" s="84">
        <f t="shared" si="20"/>
        <v>320.7173925459079</v>
      </c>
      <c r="I342" s="84">
        <f t="shared" si="21"/>
        <v>5778.3860079041597</v>
      </c>
      <c r="J342" s="84">
        <f t="shared" si="22"/>
        <v>124165.96241413162</v>
      </c>
      <c r="K342" s="80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15.75" customHeight="1" x14ac:dyDescent="0.25">
      <c r="A343" s="62"/>
      <c r="B343" s="62"/>
      <c r="C343" s="76"/>
      <c r="D343" s="77"/>
      <c r="E343" s="62"/>
      <c r="F343" s="83">
        <f t="shared" si="18"/>
        <v>340</v>
      </c>
      <c r="G343" s="84">
        <f t="shared" si="19"/>
        <v>6099.103400450068</v>
      </c>
      <c r="H343" s="84">
        <f t="shared" si="20"/>
        <v>308.67908836277422</v>
      </c>
      <c r="I343" s="84">
        <f t="shared" si="21"/>
        <v>5790.4243120872934</v>
      </c>
      <c r="J343" s="84">
        <f t="shared" si="22"/>
        <v>118375.53810204432</v>
      </c>
      <c r="K343" s="80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15.75" customHeight="1" x14ac:dyDescent="0.25">
      <c r="A344" s="62"/>
      <c r="B344" s="62"/>
      <c r="C344" s="76"/>
      <c r="D344" s="77"/>
      <c r="E344" s="62"/>
      <c r="F344" s="83">
        <f t="shared" si="18"/>
        <v>341</v>
      </c>
      <c r="G344" s="84">
        <f t="shared" si="19"/>
        <v>6099.103400450068</v>
      </c>
      <c r="H344" s="84">
        <f t="shared" si="20"/>
        <v>296.615704379259</v>
      </c>
      <c r="I344" s="84">
        <f t="shared" si="21"/>
        <v>5802.4876960708089</v>
      </c>
      <c r="J344" s="84">
        <f t="shared" si="22"/>
        <v>112573.05040597351</v>
      </c>
      <c r="K344" s="80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15.75" customHeight="1" x14ac:dyDescent="0.25">
      <c r="A345" s="62"/>
      <c r="B345" s="62"/>
      <c r="C345" s="76"/>
      <c r="D345" s="77"/>
      <c r="E345" s="62"/>
      <c r="F345" s="83">
        <f t="shared" si="18"/>
        <v>342</v>
      </c>
      <c r="G345" s="84">
        <f t="shared" si="19"/>
        <v>6099.103400450068</v>
      </c>
      <c r="H345" s="84">
        <f t="shared" si="20"/>
        <v>284.5271883457782</v>
      </c>
      <c r="I345" s="84">
        <f t="shared" si="21"/>
        <v>5814.5762121042899</v>
      </c>
      <c r="J345" s="84">
        <f t="shared" si="22"/>
        <v>106758.47419386922</v>
      </c>
      <c r="K345" s="80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15.75" customHeight="1" x14ac:dyDescent="0.25">
      <c r="A346" s="62"/>
      <c r="B346" s="62"/>
      <c r="C346" s="76"/>
      <c r="D346" s="77"/>
      <c r="E346" s="62"/>
      <c r="F346" s="83">
        <f t="shared" si="18"/>
        <v>343</v>
      </c>
      <c r="G346" s="84">
        <f t="shared" si="19"/>
        <v>6099.103400450068</v>
      </c>
      <c r="H346" s="84">
        <f t="shared" si="20"/>
        <v>272.41348790389418</v>
      </c>
      <c r="I346" s="84">
        <f t="shared" si="21"/>
        <v>5826.6899125461741</v>
      </c>
      <c r="J346" s="84">
        <f t="shared" si="22"/>
        <v>100931.78428132304</v>
      </c>
      <c r="K346" s="80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15.75" customHeight="1" x14ac:dyDescent="0.25">
      <c r="A347" s="62"/>
      <c r="B347" s="62"/>
      <c r="C347" s="76"/>
      <c r="D347" s="77"/>
      <c r="E347" s="62"/>
      <c r="F347" s="83">
        <f t="shared" si="18"/>
        <v>344</v>
      </c>
      <c r="G347" s="84">
        <f t="shared" si="19"/>
        <v>6099.103400450068</v>
      </c>
      <c r="H347" s="84">
        <f t="shared" si="20"/>
        <v>260.27455058608973</v>
      </c>
      <c r="I347" s="84">
        <f t="shared" si="21"/>
        <v>5838.8288498639786</v>
      </c>
      <c r="J347" s="84">
        <f t="shared" si="22"/>
        <v>95092.955431459064</v>
      </c>
      <c r="K347" s="80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15.75" customHeight="1" x14ac:dyDescent="0.25">
      <c r="A348" s="62"/>
      <c r="B348" s="62"/>
      <c r="C348" s="76"/>
      <c r="D348" s="77"/>
      <c r="E348" s="62"/>
      <c r="F348" s="83">
        <f t="shared" si="18"/>
        <v>345</v>
      </c>
      <c r="G348" s="84">
        <f t="shared" si="19"/>
        <v>6099.103400450068</v>
      </c>
      <c r="H348" s="84">
        <f t="shared" si="20"/>
        <v>248.11032381553972</v>
      </c>
      <c r="I348" s="84">
        <f t="shared" si="21"/>
        <v>5850.9930766345278</v>
      </c>
      <c r="J348" s="84">
        <f t="shared" si="22"/>
        <v>89241.962354824529</v>
      </c>
      <c r="K348" s="80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15.75" customHeight="1" x14ac:dyDescent="0.25">
      <c r="A349" s="62"/>
      <c r="B349" s="62"/>
      <c r="C349" s="76"/>
      <c r="D349" s="77"/>
      <c r="E349" s="62"/>
      <c r="F349" s="83">
        <f t="shared" si="18"/>
        <v>346</v>
      </c>
      <c r="G349" s="84">
        <f t="shared" si="19"/>
        <v>6099.103400450068</v>
      </c>
      <c r="H349" s="84">
        <f t="shared" si="20"/>
        <v>235.92075490588445</v>
      </c>
      <c r="I349" s="84">
        <f t="shared" si="21"/>
        <v>5863.1826455441833</v>
      </c>
      <c r="J349" s="84">
        <f t="shared" si="22"/>
        <v>83378.779709280352</v>
      </c>
      <c r="K349" s="80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15.75" customHeight="1" x14ac:dyDescent="0.25">
      <c r="A350" s="62"/>
      <c r="B350" s="62"/>
      <c r="C350" s="76"/>
      <c r="D350" s="77"/>
      <c r="E350" s="62"/>
      <c r="F350" s="83">
        <f t="shared" si="18"/>
        <v>347</v>
      </c>
      <c r="G350" s="84">
        <f t="shared" si="19"/>
        <v>6099.103400450068</v>
      </c>
      <c r="H350" s="84">
        <f t="shared" si="20"/>
        <v>223.70579106100072</v>
      </c>
      <c r="I350" s="84">
        <f t="shared" si="21"/>
        <v>5875.3976093890669</v>
      </c>
      <c r="J350" s="84">
        <f t="shared" si="22"/>
        <v>77503.382099891285</v>
      </c>
      <c r="K350" s="80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15.75" customHeight="1" x14ac:dyDescent="0.25">
      <c r="A351" s="62"/>
      <c r="B351" s="62"/>
      <c r="C351" s="76"/>
      <c r="D351" s="77"/>
      <c r="E351" s="62"/>
      <c r="F351" s="83">
        <f t="shared" si="18"/>
        <v>348</v>
      </c>
      <c r="G351" s="84">
        <f t="shared" si="19"/>
        <v>6099.103400450068</v>
      </c>
      <c r="H351" s="84">
        <f t="shared" si="20"/>
        <v>211.46537937477351</v>
      </c>
      <c r="I351" s="84">
        <f t="shared" si="21"/>
        <v>5887.6380210752941</v>
      </c>
      <c r="J351" s="84">
        <f t="shared" si="22"/>
        <v>71615.744078815987</v>
      </c>
      <c r="K351" s="80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15.75" customHeight="1" x14ac:dyDescent="0.25">
      <c r="A352" s="62"/>
      <c r="B352" s="62"/>
      <c r="C352" s="76"/>
      <c r="D352" s="77"/>
      <c r="E352" s="62"/>
      <c r="F352" s="83">
        <f t="shared" si="18"/>
        <v>349</v>
      </c>
      <c r="G352" s="84">
        <f t="shared" si="19"/>
        <v>6099.103400450068</v>
      </c>
      <c r="H352" s="84">
        <f t="shared" si="20"/>
        <v>199.19946683086664</v>
      </c>
      <c r="I352" s="84">
        <f t="shared" si="21"/>
        <v>5899.9039336192018</v>
      </c>
      <c r="J352" s="84">
        <f t="shared" si="22"/>
        <v>65715.84014519678</v>
      </c>
      <c r="K352" s="80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15.75" customHeight="1" x14ac:dyDescent="0.25">
      <c r="A353" s="62"/>
      <c r="B353" s="62"/>
      <c r="C353" s="76"/>
      <c r="D353" s="77"/>
      <c r="E353" s="62"/>
      <c r="F353" s="83">
        <f t="shared" si="18"/>
        <v>350</v>
      </c>
      <c r="G353" s="84">
        <f t="shared" si="19"/>
        <v>6099.103400450068</v>
      </c>
      <c r="H353" s="84">
        <f t="shared" si="20"/>
        <v>186.90800030249329</v>
      </c>
      <c r="I353" s="84">
        <f t="shared" si="21"/>
        <v>5912.1954001475751</v>
      </c>
      <c r="J353" s="84">
        <f t="shared" si="22"/>
        <v>59803.644745049205</v>
      </c>
      <c r="K353" s="80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15.75" customHeight="1" x14ac:dyDescent="0.25">
      <c r="A354" s="62"/>
      <c r="B354" s="62"/>
      <c r="C354" s="76"/>
      <c r="D354" s="77"/>
      <c r="E354" s="62"/>
      <c r="F354" s="83">
        <f t="shared" si="18"/>
        <v>351</v>
      </c>
      <c r="G354" s="84">
        <f t="shared" si="19"/>
        <v>6099.103400450068</v>
      </c>
      <c r="H354" s="84">
        <f t="shared" si="20"/>
        <v>174.59092655218586</v>
      </c>
      <c r="I354" s="84">
        <f t="shared" si="21"/>
        <v>5924.512473897882</v>
      </c>
      <c r="J354" s="84">
        <f t="shared" si="22"/>
        <v>53879.13227115132</v>
      </c>
      <c r="K354" s="80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15.75" customHeight="1" x14ac:dyDescent="0.25">
      <c r="A355" s="62"/>
      <c r="B355" s="62"/>
      <c r="C355" s="76"/>
      <c r="D355" s="77"/>
      <c r="E355" s="62"/>
      <c r="F355" s="83">
        <f t="shared" si="18"/>
        <v>352</v>
      </c>
      <c r="G355" s="84">
        <f t="shared" si="19"/>
        <v>6099.103400450068</v>
      </c>
      <c r="H355" s="84">
        <f t="shared" si="20"/>
        <v>162.24819223156527</v>
      </c>
      <c r="I355" s="84">
        <f t="shared" si="21"/>
        <v>5936.8552082185024</v>
      </c>
      <c r="J355" s="84">
        <f t="shared" si="22"/>
        <v>47942.277062932815</v>
      </c>
      <c r="K355" s="80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15.75" customHeight="1" x14ac:dyDescent="0.25">
      <c r="A356" s="62"/>
      <c r="B356" s="62"/>
      <c r="C356" s="76"/>
      <c r="D356" s="77"/>
      <c r="E356" s="62"/>
      <c r="F356" s="83">
        <f t="shared" si="18"/>
        <v>353</v>
      </c>
      <c r="G356" s="84">
        <f t="shared" si="19"/>
        <v>6099.103400450068</v>
      </c>
      <c r="H356" s="84">
        <f t="shared" si="20"/>
        <v>149.87974388111002</v>
      </c>
      <c r="I356" s="84">
        <f t="shared" si="21"/>
        <v>5949.2236565689582</v>
      </c>
      <c r="J356" s="84">
        <f t="shared" si="22"/>
        <v>41993.053406363855</v>
      </c>
      <c r="K356" s="80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15.75" customHeight="1" x14ac:dyDescent="0.25">
      <c r="A357" s="62"/>
      <c r="B357" s="62"/>
      <c r="C357" s="76"/>
      <c r="D357" s="77"/>
      <c r="E357" s="62"/>
      <c r="F357" s="83">
        <f t="shared" si="18"/>
        <v>354</v>
      </c>
      <c r="G357" s="84">
        <f t="shared" si="19"/>
        <v>6099.103400450068</v>
      </c>
      <c r="H357" s="84">
        <f t="shared" si="20"/>
        <v>137.48552792992473</v>
      </c>
      <c r="I357" s="84">
        <f t="shared" si="21"/>
        <v>5961.6178725201435</v>
      </c>
      <c r="J357" s="84">
        <f t="shared" si="22"/>
        <v>36031.435533843709</v>
      </c>
      <c r="K357" s="80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15.75" customHeight="1" x14ac:dyDescent="0.25">
      <c r="A358" s="62"/>
      <c r="B358" s="62"/>
      <c r="C358" s="76"/>
      <c r="D358" s="77"/>
      <c r="E358" s="62"/>
      <c r="F358" s="83">
        <f t="shared" si="18"/>
        <v>355</v>
      </c>
      <c r="G358" s="84">
        <f t="shared" si="19"/>
        <v>6099.103400450068</v>
      </c>
      <c r="H358" s="84">
        <f t="shared" si="20"/>
        <v>125.06549069550773</v>
      </c>
      <c r="I358" s="84">
        <f t="shared" si="21"/>
        <v>5974.0379097545601</v>
      </c>
      <c r="J358" s="84">
        <f t="shared" si="22"/>
        <v>30057.39762408915</v>
      </c>
      <c r="K358" s="80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15.75" customHeight="1" x14ac:dyDescent="0.25">
      <c r="A359" s="62"/>
      <c r="B359" s="62"/>
      <c r="C359" s="76"/>
      <c r="D359" s="77"/>
      <c r="E359" s="62"/>
      <c r="F359" s="83">
        <f t="shared" si="18"/>
        <v>356</v>
      </c>
      <c r="G359" s="84">
        <f t="shared" si="19"/>
        <v>6099.103400450068</v>
      </c>
      <c r="H359" s="84">
        <f t="shared" si="20"/>
        <v>112.61957838351907</v>
      </c>
      <c r="I359" s="84">
        <f t="shared" si="21"/>
        <v>5986.4838220665488</v>
      </c>
      <c r="J359" s="84">
        <f t="shared" si="22"/>
        <v>24070.913802022602</v>
      </c>
      <c r="K359" s="80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15.75" customHeight="1" x14ac:dyDescent="0.25">
      <c r="A360" s="62"/>
      <c r="B360" s="62"/>
      <c r="C360" s="76"/>
      <c r="D360" s="77"/>
      <c r="E360" s="62"/>
      <c r="F360" s="83">
        <f t="shared" si="18"/>
        <v>357</v>
      </c>
      <c r="G360" s="84">
        <f t="shared" si="19"/>
        <v>6099.103400450068</v>
      </c>
      <c r="H360" s="84">
        <f t="shared" si="20"/>
        <v>100.14773708754709</v>
      </c>
      <c r="I360" s="84">
        <f t="shared" si="21"/>
        <v>5998.9556633625207</v>
      </c>
      <c r="J360" s="84">
        <f t="shared" si="22"/>
        <v>18071.95813866008</v>
      </c>
      <c r="K360" s="80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15.75" customHeight="1" x14ac:dyDescent="0.25">
      <c r="A361" s="62"/>
      <c r="B361" s="62"/>
      <c r="C361" s="76"/>
      <c r="D361" s="77"/>
      <c r="E361" s="62"/>
      <c r="F361" s="83">
        <f t="shared" si="18"/>
        <v>358</v>
      </c>
      <c r="G361" s="84">
        <f t="shared" si="19"/>
        <v>6099.103400450068</v>
      </c>
      <c r="H361" s="84">
        <f t="shared" si="20"/>
        <v>87.64991278887517</v>
      </c>
      <c r="I361" s="84">
        <f t="shared" si="21"/>
        <v>6011.4534876611924</v>
      </c>
      <c r="J361" s="84">
        <f t="shared" si="22"/>
        <v>12060.504650998888</v>
      </c>
      <c r="K361" s="80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15.75" customHeight="1" x14ac:dyDescent="0.25">
      <c r="A362" s="62"/>
      <c r="B362" s="62"/>
      <c r="C362" s="76"/>
      <c r="D362" s="77"/>
      <c r="E362" s="62"/>
      <c r="F362" s="83">
        <f t="shared" si="18"/>
        <v>359</v>
      </c>
      <c r="G362" s="84">
        <f t="shared" si="19"/>
        <v>6099.103400450068</v>
      </c>
      <c r="H362" s="84">
        <f t="shared" si="20"/>
        <v>75.126051356247686</v>
      </c>
      <c r="I362" s="84">
        <f t="shared" si="21"/>
        <v>6023.9773490938205</v>
      </c>
      <c r="J362" s="84">
        <f t="shared" si="22"/>
        <v>6036.5273019050674</v>
      </c>
      <c r="K362" s="80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15.75" customHeight="1" x14ac:dyDescent="0.25">
      <c r="A363" s="62"/>
      <c r="B363" s="62"/>
      <c r="C363" s="76"/>
      <c r="D363" s="77"/>
      <c r="E363" s="62"/>
      <c r="F363" s="83">
        <f t="shared" si="18"/>
        <v>360</v>
      </c>
      <c r="G363" s="84">
        <f t="shared" si="19"/>
        <v>6099.1034004507028</v>
      </c>
      <c r="H363" s="84">
        <f t="shared" si="20"/>
        <v>62.57609854563556</v>
      </c>
      <c r="I363" s="84">
        <f t="shared" si="21"/>
        <v>6036.5273019050674</v>
      </c>
      <c r="J363" s="84">
        <f t="shared" si="22"/>
        <v>0</v>
      </c>
      <c r="K363" s="80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15.75" customHeight="1" x14ac:dyDescent="0.25">
      <c r="A364" s="62"/>
      <c r="B364" s="62"/>
      <c r="C364" s="76"/>
      <c r="D364" s="77"/>
      <c r="E364" s="62"/>
      <c r="F364" s="83" t="str">
        <f t="shared" si="18"/>
        <v/>
      </c>
      <c r="G364" s="84" t="str">
        <f t="shared" si="19"/>
        <v/>
      </c>
      <c r="H364" s="84" t="str">
        <f t="shared" si="20"/>
        <v/>
      </c>
      <c r="I364" s="84" t="str">
        <f t="shared" si="21"/>
        <v/>
      </c>
      <c r="J364" s="84" t="str">
        <f t="shared" si="22"/>
        <v/>
      </c>
      <c r="K364" s="80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15.75" customHeight="1" x14ac:dyDescent="0.25">
      <c r="A365" s="62"/>
      <c r="B365" s="62"/>
      <c r="C365" s="76"/>
      <c r="D365" s="77"/>
      <c r="E365" s="62"/>
      <c r="F365" s="83" t="str">
        <f t="shared" si="18"/>
        <v/>
      </c>
      <c r="G365" s="84" t="str">
        <f t="shared" si="19"/>
        <v/>
      </c>
      <c r="H365" s="84" t="str">
        <f t="shared" si="20"/>
        <v/>
      </c>
      <c r="I365" s="84" t="str">
        <f t="shared" si="21"/>
        <v/>
      </c>
      <c r="J365" s="84" t="str">
        <f t="shared" si="22"/>
        <v/>
      </c>
      <c r="K365" s="80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15.75" customHeight="1" x14ac:dyDescent="0.25">
      <c r="A366" s="62"/>
      <c r="B366" s="62"/>
      <c r="C366" s="76"/>
      <c r="D366" s="77"/>
      <c r="E366" s="62"/>
      <c r="F366" s="83" t="str">
        <f t="shared" si="18"/>
        <v/>
      </c>
      <c r="G366" s="84" t="str">
        <f t="shared" si="19"/>
        <v/>
      </c>
      <c r="H366" s="84" t="str">
        <f t="shared" si="20"/>
        <v/>
      </c>
      <c r="I366" s="84" t="str">
        <f t="shared" si="21"/>
        <v/>
      </c>
      <c r="J366" s="84" t="str">
        <f t="shared" si="22"/>
        <v/>
      </c>
      <c r="K366" s="80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15.75" customHeight="1" x14ac:dyDescent="0.25">
      <c r="A367" s="62"/>
      <c r="B367" s="62"/>
      <c r="C367" s="76"/>
      <c r="D367" s="77"/>
      <c r="E367" s="62"/>
      <c r="F367" s="83" t="str">
        <f t="shared" si="18"/>
        <v/>
      </c>
      <c r="G367" s="84" t="str">
        <f t="shared" si="19"/>
        <v/>
      </c>
      <c r="H367" s="84" t="str">
        <f t="shared" si="20"/>
        <v/>
      </c>
      <c r="I367" s="84" t="str">
        <f t="shared" si="21"/>
        <v/>
      </c>
      <c r="J367" s="84" t="str">
        <f t="shared" si="22"/>
        <v/>
      </c>
      <c r="K367" s="80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15.75" customHeight="1" x14ac:dyDescent="0.25">
      <c r="A368" s="62"/>
      <c r="B368" s="62"/>
      <c r="C368" s="76"/>
      <c r="D368" s="77"/>
      <c r="E368" s="62"/>
      <c r="F368" s="83" t="str">
        <f t="shared" si="18"/>
        <v/>
      </c>
      <c r="G368" s="84" t="str">
        <f t="shared" si="19"/>
        <v/>
      </c>
      <c r="H368" s="84" t="str">
        <f t="shared" si="20"/>
        <v/>
      </c>
      <c r="I368" s="84" t="str">
        <f t="shared" si="21"/>
        <v/>
      </c>
      <c r="J368" s="84" t="str">
        <f t="shared" si="22"/>
        <v/>
      </c>
      <c r="K368" s="80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15.75" customHeight="1" x14ac:dyDescent="0.25">
      <c r="A369" s="62"/>
      <c r="B369" s="62"/>
      <c r="C369" s="76"/>
      <c r="D369" s="77"/>
      <c r="E369" s="62"/>
      <c r="F369" s="83" t="str">
        <f t="shared" si="18"/>
        <v/>
      </c>
      <c r="G369" s="84" t="str">
        <f t="shared" si="19"/>
        <v/>
      </c>
      <c r="H369" s="84" t="str">
        <f t="shared" si="20"/>
        <v/>
      </c>
      <c r="I369" s="84" t="str">
        <f t="shared" si="21"/>
        <v/>
      </c>
      <c r="J369" s="84" t="str">
        <f t="shared" si="22"/>
        <v/>
      </c>
      <c r="K369" s="80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15.75" customHeight="1" x14ac:dyDescent="0.25">
      <c r="A370" s="62"/>
      <c r="B370" s="62"/>
      <c r="C370" s="76"/>
      <c r="D370" s="77"/>
      <c r="E370" s="62"/>
      <c r="F370" s="83" t="str">
        <f t="shared" si="18"/>
        <v/>
      </c>
      <c r="G370" s="84" t="str">
        <f t="shared" si="19"/>
        <v/>
      </c>
      <c r="H370" s="84" t="str">
        <f t="shared" si="20"/>
        <v/>
      </c>
      <c r="I370" s="84" t="str">
        <f t="shared" si="21"/>
        <v/>
      </c>
      <c r="J370" s="84" t="str">
        <f t="shared" si="22"/>
        <v/>
      </c>
      <c r="K370" s="80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15.75" customHeight="1" x14ac:dyDescent="0.25">
      <c r="A371" s="62"/>
      <c r="B371" s="62"/>
      <c r="C371" s="76"/>
      <c r="D371" s="77"/>
      <c r="E371" s="62"/>
      <c r="F371" s="83" t="str">
        <f t="shared" si="18"/>
        <v/>
      </c>
      <c r="G371" s="84" t="str">
        <f t="shared" si="19"/>
        <v/>
      </c>
      <c r="H371" s="84" t="str">
        <f t="shared" si="20"/>
        <v/>
      </c>
      <c r="I371" s="84" t="str">
        <f t="shared" si="21"/>
        <v/>
      </c>
      <c r="J371" s="84" t="str">
        <f t="shared" si="22"/>
        <v/>
      </c>
      <c r="K371" s="80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15.75" customHeight="1" x14ac:dyDescent="0.25">
      <c r="A372" s="62"/>
      <c r="B372" s="62"/>
      <c r="C372" s="76"/>
      <c r="D372" s="77"/>
      <c r="E372" s="62"/>
      <c r="F372" s="83" t="str">
        <f t="shared" si="18"/>
        <v/>
      </c>
      <c r="G372" s="84" t="str">
        <f t="shared" si="19"/>
        <v/>
      </c>
      <c r="H372" s="84" t="str">
        <f t="shared" si="20"/>
        <v/>
      </c>
      <c r="I372" s="84" t="str">
        <f t="shared" si="21"/>
        <v/>
      </c>
      <c r="J372" s="84" t="str">
        <f t="shared" si="22"/>
        <v/>
      </c>
      <c r="K372" s="80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15.75" customHeight="1" x14ac:dyDescent="0.25">
      <c r="A373" s="62"/>
      <c r="B373" s="62"/>
      <c r="C373" s="76"/>
      <c r="D373" s="77"/>
      <c r="E373" s="62"/>
      <c r="F373" s="83" t="str">
        <f t="shared" si="18"/>
        <v/>
      </c>
      <c r="G373" s="84" t="str">
        <f t="shared" si="19"/>
        <v/>
      </c>
      <c r="H373" s="84" t="str">
        <f t="shared" si="20"/>
        <v/>
      </c>
      <c r="I373" s="84" t="str">
        <f t="shared" si="21"/>
        <v/>
      </c>
      <c r="J373" s="84" t="str">
        <f t="shared" si="22"/>
        <v/>
      </c>
      <c r="K373" s="80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15.75" customHeight="1" x14ac:dyDescent="0.25">
      <c r="A374" s="62"/>
      <c r="B374" s="62"/>
      <c r="C374" s="76"/>
      <c r="D374" s="77"/>
      <c r="E374" s="62"/>
      <c r="F374" s="83" t="str">
        <f t="shared" si="18"/>
        <v/>
      </c>
      <c r="G374" s="84" t="str">
        <f t="shared" si="19"/>
        <v/>
      </c>
      <c r="H374" s="84" t="str">
        <f t="shared" si="20"/>
        <v/>
      </c>
      <c r="I374" s="84" t="str">
        <f t="shared" si="21"/>
        <v/>
      </c>
      <c r="J374" s="84" t="str">
        <f t="shared" si="22"/>
        <v/>
      </c>
      <c r="K374" s="80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15.75" customHeight="1" x14ac:dyDescent="0.25">
      <c r="A375" s="62"/>
      <c r="B375" s="62"/>
      <c r="C375" s="76"/>
      <c r="D375" s="77"/>
      <c r="E375" s="62"/>
      <c r="F375" s="83" t="str">
        <f t="shared" si="18"/>
        <v/>
      </c>
      <c r="G375" s="84" t="str">
        <f t="shared" si="19"/>
        <v/>
      </c>
      <c r="H375" s="84" t="str">
        <f t="shared" si="20"/>
        <v/>
      </c>
      <c r="I375" s="84" t="str">
        <f t="shared" si="21"/>
        <v/>
      </c>
      <c r="J375" s="84" t="str">
        <f t="shared" si="22"/>
        <v/>
      </c>
      <c r="K375" s="80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15.75" customHeight="1" x14ac:dyDescent="0.25">
      <c r="A376" s="62"/>
      <c r="B376" s="62"/>
      <c r="C376" s="76"/>
      <c r="D376" s="77"/>
      <c r="E376" s="62"/>
      <c r="F376" s="83" t="str">
        <f t="shared" si="18"/>
        <v/>
      </c>
      <c r="G376" s="84" t="str">
        <f t="shared" si="19"/>
        <v/>
      </c>
      <c r="H376" s="84" t="str">
        <f t="shared" si="20"/>
        <v/>
      </c>
      <c r="I376" s="84" t="str">
        <f t="shared" si="21"/>
        <v/>
      </c>
      <c r="J376" s="84" t="str">
        <f t="shared" si="22"/>
        <v/>
      </c>
      <c r="K376" s="80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15.75" customHeight="1" x14ac:dyDescent="0.25">
      <c r="A377" s="62"/>
      <c r="B377" s="62"/>
      <c r="C377" s="76"/>
      <c r="D377" s="77"/>
      <c r="E377" s="62"/>
      <c r="F377" s="83" t="str">
        <f t="shared" si="18"/>
        <v/>
      </c>
      <c r="G377" s="84" t="str">
        <f t="shared" si="19"/>
        <v/>
      </c>
      <c r="H377" s="84" t="str">
        <f t="shared" si="20"/>
        <v/>
      </c>
      <c r="I377" s="84" t="str">
        <f t="shared" si="21"/>
        <v/>
      </c>
      <c r="J377" s="84" t="str">
        <f t="shared" si="22"/>
        <v/>
      </c>
      <c r="K377" s="80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15.75" customHeight="1" x14ac:dyDescent="0.25">
      <c r="A378" s="62"/>
      <c r="B378" s="62"/>
      <c r="C378" s="76"/>
      <c r="D378" s="77"/>
      <c r="E378" s="62"/>
      <c r="F378" s="83" t="str">
        <f t="shared" si="18"/>
        <v/>
      </c>
      <c r="G378" s="84" t="str">
        <f t="shared" si="19"/>
        <v/>
      </c>
      <c r="H378" s="84" t="str">
        <f t="shared" si="20"/>
        <v/>
      </c>
      <c r="I378" s="84" t="str">
        <f t="shared" si="21"/>
        <v/>
      </c>
      <c r="J378" s="84" t="str">
        <f t="shared" si="22"/>
        <v/>
      </c>
      <c r="K378" s="80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15.75" customHeight="1" x14ac:dyDescent="0.25">
      <c r="A379" s="62"/>
      <c r="B379" s="62"/>
      <c r="C379" s="76"/>
      <c r="D379" s="77"/>
      <c r="E379" s="62"/>
      <c r="F379" s="83" t="str">
        <f t="shared" si="18"/>
        <v/>
      </c>
      <c r="G379" s="84" t="str">
        <f t="shared" si="19"/>
        <v/>
      </c>
      <c r="H379" s="84" t="str">
        <f t="shared" si="20"/>
        <v/>
      </c>
      <c r="I379" s="84" t="str">
        <f t="shared" si="21"/>
        <v/>
      </c>
      <c r="J379" s="84" t="str">
        <f t="shared" si="22"/>
        <v/>
      </c>
      <c r="K379" s="80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15.75" customHeight="1" x14ac:dyDescent="0.25">
      <c r="A380" s="62"/>
      <c r="B380" s="62"/>
      <c r="C380" s="76"/>
      <c r="D380" s="77"/>
      <c r="E380" s="62"/>
      <c r="F380" s="83" t="str">
        <f t="shared" si="18"/>
        <v/>
      </c>
      <c r="G380" s="84" t="str">
        <f t="shared" si="19"/>
        <v/>
      </c>
      <c r="H380" s="84" t="str">
        <f t="shared" si="20"/>
        <v/>
      </c>
      <c r="I380" s="84" t="str">
        <f t="shared" si="21"/>
        <v/>
      </c>
      <c r="J380" s="84" t="str">
        <f t="shared" si="22"/>
        <v/>
      </c>
      <c r="K380" s="80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15.75" customHeight="1" x14ac:dyDescent="0.25">
      <c r="A381" s="62"/>
      <c r="B381" s="62"/>
      <c r="C381" s="76"/>
      <c r="D381" s="77"/>
      <c r="E381" s="62"/>
      <c r="F381" s="83" t="str">
        <f t="shared" si="18"/>
        <v/>
      </c>
      <c r="G381" s="84" t="str">
        <f t="shared" si="19"/>
        <v/>
      </c>
      <c r="H381" s="84" t="str">
        <f t="shared" si="20"/>
        <v/>
      </c>
      <c r="I381" s="84" t="str">
        <f t="shared" si="21"/>
        <v/>
      </c>
      <c r="J381" s="84" t="str">
        <f t="shared" si="22"/>
        <v/>
      </c>
      <c r="K381" s="80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15.75" customHeight="1" x14ac:dyDescent="0.25">
      <c r="A382" s="62"/>
      <c r="B382" s="62"/>
      <c r="C382" s="76"/>
      <c r="D382" s="77"/>
      <c r="E382" s="62"/>
      <c r="F382" s="83" t="str">
        <f t="shared" si="18"/>
        <v/>
      </c>
      <c r="G382" s="84" t="str">
        <f t="shared" si="19"/>
        <v/>
      </c>
      <c r="H382" s="84" t="str">
        <f t="shared" si="20"/>
        <v/>
      </c>
      <c r="I382" s="84" t="str">
        <f t="shared" si="21"/>
        <v/>
      </c>
      <c r="J382" s="84" t="str">
        <f t="shared" si="22"/>
        <v/>
      </c>
      <c r="K382" s="80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15.75" customHeight="1" x14ac:dyDescent="0.25">
      <c r="A383" s="62"/>
      <c r="B383" s="62"/>
      <c r="C383" s="76"/>
      <c r="D383" s="77"/>
      <c r="E383" s="62"/>
      <c r="F383" s="83" t="str">
        <f t="shared" si="18"/>
        <v/>
      </c>
      <c r="G383" s="84" t="str">
        <f t="shared" si="19"/>
        <v/>
      </c>
      <c r="H383" s="84" t="str">
        <f t="shared" si="20"/>
        <v/>
      </c>
      <c r="I383" s="84" t="str">
        <f t="shared" si="21"/>
        <v/>
      </c>
      <c r="J383" s="84" t="str">
        <f t="shared" si="22"/>
        <v/>
      </c>
      <c r="K383" s="80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15.75" customHeight="1" x14ac:dyDescent="0.25">
      <c r="A384" s="62"/>
      <c r="B384" s="62"/>
      <c r="C384" s="76"/>
      <c r="D384" s="77"/>
      <c r="E384" s="62"/>
      <c r="F384" s="83" t="str">
        <f t="shared" si="18"/>
        <v/>
      </c>
      <c r="G384" s="84" t="str">
        <f t="shared" si="19"/>
        <v/>
      </c>
      <c r="H384" s="84" t="str">
        <f t="shared" si="20"/>
        <v/>
      </c>
      <c r="I384" s="84" t="str">
        <f t="shared" si="21"/>
        <v/>
      </c>
      <c r="J384" s="84" t="str">
        <f t="shared" si="22"/>
        <v/>
      </c>
      <c r="K384" s="80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15.75" customHeight="1" x14ac:dyDescent="0.25">
      <c r="A385" s="62"/>
      <c r="B385" s="62"/>
      <c r="C385" s="76"/>
      <c r="D385" s="77"/>
      <c r="E385" s="62"/>
      <c r="F385" s="83" t="str">
        <f t="shared" si="18"/>
        <v/>
      </c>
      <c r="G385" s="84" t="str">
        <f t="shared" si="19"/>
        <v/>
      </c>
      <c r="H385" s="84" t="str">
        <f t="shared" si="20"/>
        <v/>
      </c>
      <c r="I385" s="84" t="str">
        <f t="shared" si="21"/>
        <v/>
      </c>
      <c r="J385" s="84" t="str">
        <f t="shared" si="22"/>
        <v/>
      </c>
      <c r="K385" s="80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15.75" customHeight="1" x14ac:dyDescent="0.25">
      <c r="A386" s="62"/>
      <c r="B386" s="62"/>
      <c r="C386" s="76"/>
      <c r="D386" s="77"/>
      <c r="E386" s="62"/>
      <c r="F386" s="83" t="str">
        <f t="shared" si="18"/>
        <v/>
      </c>
      <c r="G386" s="84" t="str">
        <f t="shared" si="19"/>
        <v/>
      </c>
      <c r="H386" s="84" t="str">
        <f t="shared" si="20"/>
        <v/>
      </c>
      <c r="I386" s="84" t="str">
        <f t="shared" si="21"/>
        <v/>
      </c>
      <c r="J386" s="84" t="str">
        <f t="shared" si="22"/>
        <v/>
      </c>
      <c r="K386" s="80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15.75" customHeight="1" x14ac:dyDescent="0.25">
      <c r="A387" s="62"/>
      <c r="B387" s="62"/>
      <c r="C387" s="76"/>
      <c r="D387" s="77"/>
      <c r="E387" s="62"/>
      <c r="F387" s="83" t="str">
        <f t="shared" si="18"/>
        <v/>
      </c>
      <c r="G387" s="84" t="str">
        <f t="shared" si="19"/>
        <v/>
      </c>
      <c r="H387" s="84" t="str">
        <f t="shared" si="20"/>
        <v/>
      </c>
      <c r="I387" s="84" t="str">
        <f t="shared" si="21"/>
        <v/>
      </c>
      <c r="J387" s="84" t="str">
        <f t="shared" si="22"/>
        <v/>
      </c>
      <c r="K387" s="80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15.75" customHeight="1" x14ac:dyDescent="0.25">
      <c r="A388" s="62"/>
      <c r="B388" s="62"/>
      <c r="C388" s="76"/>
      <c r="D388" s="77"/>
      <c r="E388" s="62"/>
      <c r="F388" s="83" t="str">
        <f t="shared" si="18"/>
        <v/>
      </c>
      <c r="G388" s="84" t="str">
        <f t="shared" si="19"/>
        <v/>
      </c>
      <c r="H388" s="84" t="str">
        <f t="shared" si="20"/>
        <v/>
      </c>
      <c r="I388" s="84" t="str">
        <f t="shared" si="21"/>
        <v/>
      </c>
      <c r="J388" s="84" t="str">
        <f t="shared" si="22"/>
        <v/>
      </c>
      <c r="K388" s="80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15.75" customHeight="1" x14ac:dyDescent="0.25">
      <c r="A389" s="62"/>
      <c r="B389" s="62"/>
      <c r="C389" s="76"/>
      <c r="D389" s="77"/>
      <c r="E389" s="62"/>
      <c r="F389" s="83" t="str">
        <f t="shared" si="18"/>
        <v/>
      </c>
      <c r="G389" s="84" t="str">
        <f t="shared" si="19"/>
        <v/>
      </c>
      <c r="H389" s="84" t="str">
        <f t="shared" si="20"/>
        <v/>
      </c>
      <c r="I389" s="84" t="str">
        <f t="shared" si="21"/>
        <v/>
      </c>
      <c r="J389" s="84" t="str">
        <f t="shared" si="22"/>
        <v/>
      </c>
      <c r="K389" s="80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15.75" customHeight="1" x14ac:dyDescent="0.25">
      <c r="A390" s="62"/>
      <c r="B390" s="62"/>
      <c r="C390" s="76"/>
      <c r="D390" s="77"/>
      <c r="E390" s="62"/>
      <c r="F390" s="83" t="str">
        <f t="shared" si="18"/>
        <v/>
      </c>
      <c r="G390" s="84" t="str">
        <f t="shared" si="19"/>
        <v/>
      </c>
      <c r="H390" s="84" t="str">
        <f t="shared" si="20"/>
        <v/>
      </c>
      <c r="I390" s="84" t="str">
        <f t="shared" si="21"/>
        <v/>
      </c>
      <c r="J390" s="84" t="str">
        <f t="shared" si="22"/>
        <v/>
      </c>
      <c r="K390" s="80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15.75" customHeight="1" x14ac:dyDescent="0.25">
      <c r="A391" s="62"/>
      <c r="B391" s="62"/>
      <c r="C391" s="76"/>
      <c r="D391" s="77"/>
      <c r="E391" s="62"/>
      <c r="F391" s="83" t="str">
        <f t="shared" si="18"/>
        <v/>
      </c>
      <c r="G391" s="84" t="str">
        <f t="shared" si="19"/>
        <v/>
      </c>
      <c r="H391" s="84" t="str">
        <f t="shared" si="20"/>
        <v/>
      </c>
      <c r="I391" s="84" t="str">
        <f t="shared" si="21"/>
        <v/>
      </c>
      <c r="J391" s="84" t="str">
        <f t="shared" si="22"/>
        <v/>
      </c>
      <c r="K391" s="80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15.75" customHeight="1" x14ac:dyDescent="0.25">
      <c r="A392" s="62"/>
      <c r="B392" s="62"/>
      <c r="C392" s="76"/>
      <c r="D392" s="77"/>
      <c r="E392" s="62"/>
      <c r="F392" s="83" t="str">
        <f t="shared" si="18"/>
        <v/>
      </c>
      <c r="G392" s="84" t="str">
        <f t="shared" si="19"/>
        <v/>
      </c>
      <c r="H392" s="84" t="str">
        <f t="shared" si="20"/>
        <v/>
      </c>
      <c r="I392" s="84" t="str">
        <f t="shared" si="21"/>
        <v/>
      </c>
      <c r="J392" s="84" t="str">
        <f t="shared" si="22"/>
        <v/>
      </c>
      <c r="K392" s="80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15.75" customHeight="1" x14ac:dyDescent="0.25">
      <c r="A393" s="62"/>
      <c r="B393" s="62"/>
      <c r="C393" s="76"/>
      <c r="D393" s="77"/>
      <c r="E393" s="62"/>
      <c r="F393" s="83" t="str">
        <f t="shared" si="18"/>
        <v/>
      </c>
      <c r="G393" s="84" t="str">
        <f t="shared" si="19"/>
        <v/>
      </c>
      <c r="H393" s="84" t="str">
        <f t="shared" si="20"/>
        <v/>
      </c>
      <c r="I393" s="84" t="str">
        <f t="shared" si="21"/>
        <v/>
      </c>
      <c r="J393" s="84" t="str">
        <f t="shared" si="22"/>
        <v/>
      </c>
      <c r="K393" s="80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ht="15.75" customHeight="1" x14ac:dyDescent="0.25">
      <c r="A394" s="62"/>
      <c r="B394" s="62"/>
      <c r="C394" s="76"/>
      <c r="D394" s="77"/>
      <c r="E394" s="62"/>
      <c r="F394" s="83" t="str">
        <f t="shared" si="18"/>
        <v/>
      </c>
      <c r="G394" s="84" t="str">
        <f t="shared" si="19"/>
        <v/>
      </c>
      <c r="H394" s="84" t="str">
        <f t="shared" si="20"/>
        <v/>
      </c>
      <c r="I394" s="84" t="str">
        <f t="shared" si="21"/>
        <v/>
      </c>
      <c r="J394" s="84" t="str">
        <f t="shared" si="22"/>
        <v/>
      </c>
      <c r="K394" s="80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ht="15.75" customHeight="1" x14ac:dyDescent="0.25">
      <c r="A395" s="62"/>
      <c r="B395" s="62"/>
      <c r="C395" s="76"/>
      <c r="D395" s="77"/>
      <c r="E395" s="62"/>
      <c r="F395" s="83" t="str">
        <f t="shared" si="18"/>
        <v/>
      </c>
      <c r="G395" s="84" t="str">
        <f t="shared" si="19"/>
        <v/>
      </c>
      <c r="H395" s="84" t="str">
        <f t="shared" si="20"/>
        <v/>
      </c>
      <c r="I395" s="84" t="str">
        <f t="shared" si="21"/>
        <v/>
      </c>
      <c r="J395" s="84" t="str">
        <f t="shared" si="22"/>
        <v/>
      </c>
      <c r="K395" s="80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ht="15.75" customHeight="1" x14ac:dyDescent="0.25">
      <c r="A396" s="62"/>
      <c r="B396" s="62"/>
      <c r="C396" s="76"/>
      <c r="D396" s="77"/>
      <c r="E396" s="62"/>
      <c r="F396" s="83" t="str">
        <f t="shared" si="18"/>
        <v/>
      </c>
      <c r="G396" s="84" t="str">
        <f t="shared" si="19"/>
        <v/>
      </c>
      <c r="H396" s="84" t="str">
        <f t="shared" si="20"/>
        <v/>
      </c>
      <c r="I396" s="84" t="str">
        <f t="shared" si="21"/>
        <v/>
      </c>
      <c r="J396" s="84" t="str">
        <f t="shared" si="22"/>
        <v/>
      </c>
      <c r="K396" s="80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ht="15.75" customHeight="1" x14ac:dyDescent="0.25">
      <c r="A397" s="62"/>
      <c r="B397" s="62"/>
      <c r="C397" s="76"/>
      <c r="D397" s="77"/>
      <c r="E397" s="62"/>
      <c r="F397" s="83" t="str">
        <f t="shared" si="18"/>
        <v/>
      </c>
      <c r="G397" s="84" t="str">
        <f t="shared" si="19"/>
        <v/>
      </c>
      <c r="H397" s="84" t="str">
        <f t="shared" si="20"/>
        <v/>
      </c>
      <c r="I397" s="84" t="str">
        <f t="shared" si="21"/>
        <v/>
      </c>
      <c r="J397" s="84" t="str">
        <f t="shared" si="22"/>
        <v/>
      </c>
      <c r="K397" s="80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ht="15.75" customHeight="1" x14ac:dyDescent="0.25">
      <c r="A398" s="62"/>
      <c r="B398" s="62"/>
      <c r="C398" s="76"/>
      <c r="D398" s="77"/>
      <c r="E398" s="62"/>
      <c r="F398" s="83" t="str">
        <f t="shared" si="18"/>
        <v/>
      </c>
      <c r="G398" s="84" t="str">
        <f t="shared" si="19"/>
        <v/>
      </c>
      <c r="H398" s="84" t="str">
        <f t="shared" si="20"/>
        <v/>
      </c>
      <c r="I398" s="84" t="str">
        <f t="shared" si="21"/>
        <v/>
      </c>
      <c r="J398" s="84" t="str">
        <f t="shared" si="22"/>
        <v/>
      </c>
      <c r="K398" s="80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ht="15.75" customHeight="1" x14ac:dyDescent="0.25">
      <c r="A399" s="62"/>
      <c r="B399" s="62"/>
      <c r="C399" s="76"/>
      <c r="D399" s="77"/>
      <c r="E399" s="62"/>
      <c r="F399" s="83" t="str">
        <f t="shared" si="18"/>
        <v/>
      </c>
      <c r="G399" s="84" t="str">
        <f t="shared" si="19"/>
        <v/>
      </c>
      <c r="H399" s="84" t="str">
        <f t="shared" si="20"/>
        <v/>
      </c>
      <c r="I399" s="84" t="str">
        <f t="shared" si="21"/>
        <v/>
      </c>
      <c r="J399" s="84" t="str">
        <f t="shared" si="22"/>
        <v/>
      </c>
      <c r="K399" s="80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ht="15.75" customHeight="1" x14ac:dyDescent="0.25">
      <c r="A400" s="62"/>
      <c r="B400" s="62"/>
      <c r="C400" s="76"/>
      <c r="D400" s="77"/>
      <c r="E400" s="62"/>
      <c r="F400" s="83" t="str">
        <f t="shared" si="18"/>
        <v/>
      </c>
      <c r="G400" s="84" t="str">
        <f t="shared" si="19"/>
        <v/>
      </c>
      <c r="H400" s="84" t="str">
        <f t="shared" si="20"/>
        <v/>
      </c>
      <c r="I400" s="84" t="str">
        <f t="shared" si="21"/>
        <v/>
      </c>
      <c r="J400" s="84" t="str">
        <f t="shared" si="22"/>
        <v/>
      </c>
      <c r="K400" s="80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ht="15.75" customHeight="1" x14ac:dyDescent="0.25">
      <c r="A401" s="62"/>
      <c r="B401" s="62"/>
      <c r="C401" s="76"/>
      <c r="D401" s="77"/>
      <c r="E401" s="62"/>
      <c r="F401" s="83" t="str">
        <f t="shared" si="18"/>
        <v/>
      </c>
      <c r="G401" s="84" t="str">
        <f t="shared" si="19"/>
        <v/>
      </c>
      <c r="H401" s="84" t="str">
        <f t="shared" si="20"/>
        <v/>
      </c>
      <c r="I401" s="84" t="str">
        <f t="shared" si="21"/>
        <v/>
      </c>
      <c r="J401" s="84" t="str">
        <f t="shared" si="22"/>
        <v/>
      </c>
      <c r="K401" s="80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ht="15.75" customHeight="1" x14ac:dyDescent="0.25">
      <c r="A402" s="62"/>
      <c r="B402" s="62"/>
      <c r="C402" s="76"/>
      <c r="D402" s="77"/>
      <c r="E402" s="62"/>
      <c r="F402" s="83" t="str">
        <f t="shared" si="18"/>
        <v/>
      </c>
      <c r="G402" s="84" t="str">
        <f t="shared" si="19"/>
        <v/>
      </c>
      <c r="H402" s="84" t="str">
        <f t="shared" si="20"/>
        <v/>
      </c>
      <c r="I402" s="84" t="str">
        <f t="shared" si="21"/>
        <v/>
      </c>
      <c r="J402" s="84" t="str">
        <f t="shared" si="22"/>
        <v/>
      </c>
      <c r="K402" s="80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ht="15.75" customHeight="1" x14ac:dyDescent="0.25">
      <c r="A403" s="62"/>
      <c r="B403" s="62"/>
      <c r="C403" s="76"/>
      <c r="D403" s="77"/>
      <c r="E403" s="62"/>
      <c r="F403" s="83" t="str">
        <f t="shared" si="18"/>
        <v/>
      </c>
      <c r="G403" s="84" t="str">
        <f t="shared" si="19"/>
        <v/>
      </c>
      <c r="H403" s="84" t="str">
        <f t="shared" si="20"/>
        <v/>
      </c>
      <c r="I403" s="84" t="str">
        <f t="shared" si="21"/>
        <v/>
      </c>
      <c r="J403" s="84" t="str">
        <f t="shared" si="22"/>
        <v/>
      </c>
      <c r="K403" s="80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ht="15.75" customHeight="1" x14ac:dyDescent="0.25">
      <c r="A404" s="62"/>
      <c r="B404" s="62"/>
      <c r="C404" s="76"/>
      <c r="D404" s="77"/>
      <c r="E404" s="62"/>
      <c r="F404" s="83" t="str">
        <f t="shared" si="18"/>
        <v/>
      </c>
      <c r="G404" s="84" t="str">
        <f t="shared" si="19"/>
        <v/>
      </c>
      <c r="H404" s="84" t="str">
        <f t="shared" si="20"/>
        <v/>
      </c>
      <c r="I404" s="84" t="str">
        <f t="shared" si="21"/>
        <v/>
      </c>
      <c r="J404" s="84" t="str">
        <f t="shared" si="22"/>
        <v/>
      </c>
      <c r="K404" s="80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ht="15.75" customHeight="1" x14ac:dyDescent="0.25">
      <c r="A405" s="62"/>
      <c r="B405" s="62"/>
      <c r="C405" s="76"/>
      <c r="D405" s="77"/>
      <c r="E405" s="62"/>
      <c r="F405" s="83" t="str">
        <f t="shared" si="18"/>
        <v/>
      </c>
      <c r="G405" s="84" t="str">
        <f t="shared" si="19"/>
        <v/>
      </c>
      <c r="H405" s="84" t="str">
        <f t="shared" si="20"/>
        <v/>
      </c>
      <c r="I405" s="84" t="str">
        <f t="shared" si="21"/>
        <v/>
      </c>
      <c r="J405" s="84" t="str">
        <f t="shared" si="22"/>
        <v/>
      </c>
      <c r="K405" s="80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ht="15.75" customHeight="1" x14ac:dyDescent="0.25">
      <c r="A406" s="62"/>
      <c r="B406" s="62"/>
      <c r="C406" s="76"/>
      <c r="D406" s="77"/>
      <c r="E406" s="62"/>
      <c r="F406" s="83" t="str">
        <f t="shared" si="18"/>
        <v/>
      </c>
      <c r="G406" s="84" t="str">
        <f t="shared" si="19"/>
        <v/>
      </c>
      <c r="H406" s="84" t="str">
        <f t="shared" si="20"/>
        <v/>
      </c>
      <c r="I406" s="84" t="str">
        <f t="shared" si="21"/>
        <v/>
      </c>
      <c r="J406" s="84" t="str">
        <f t="shared" si="22"/>
        <v/>
      </c>
      <c r="K406" s="80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ht="15.75" customHeight="1" x14ac:dyDescent="0.25">
      <c r="A407" s="62"/>
      <c r="B407" s="62"/>
      <c r="C407" s="76"/>
      <c r="D407" s="77"/>
      <c r="E407" s="62"/>
      <c r="F407" s="83" t="str">
        <f t="shared" si="18"/>
        <v/>
      </c>
      <c r="G407" s="84" t="str">
        <f t="shared" si="19"/>
        <v/>
      </c>
      <c r="H407" s="84" t="str">
        <f t="shared" si="20"/>
        <v/>
      </c>
      <c r="I407" s="84" t="str">
        <f t="shared" si="21"/>
        <v/>
      </c>
      <c r="J407" s="84" t="str">
        <f t="shared" si="22"/>
        <v/>
      </c>
      <c r="K407" s="80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ht="15.75" customHeight="1" x14ac:dyDescent="0.25">
      <c r="A408" s="62"/>
      <c r="B408" s="62"/>
      <c r="C408" s="76"/>
      <c r="D408" s="77"/>
      <c r="E408" s="62"/>
      <c r="F408" s="83" t="str">
        <f t="shared" si="18"/>
        <v/>
      </c>
      <c r="G408" s="84" t="str">
        <f t="shared" si="19"/>
        <v/>
      </c>
      <c r="H408" s="84" t="str">
        <f t="shared" si="20"/>
        <v/>
      </c>
      <c r="I408" s="84" t="str">
        <f t="shared" si="21"/>
        <v/>
      </c>
      <c r="J408" s="84" t="str">
        <f t="shared" si="22"/>
        <v/>
      </c>
      <c r="K408" s="80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ht="15.75" customHeight="1" x14ac:dyDescent="0.25">
      <c r="A409" s="62"/>
      <c r="B409" s="62"/>
      <c r="C409" s="76"/>
      <c r="D409" s="77"/>
      <c r="E409" s="62"/>
      <c r="F409" s="83" t="str">
        <f t="shared" si="18"/>
        <v/>
      </c>
      <c r="G409" s="84" t="str">
        <f t="shared" si="19"/>
        <v/>
      </c>
      <c r="H409" s="84" t="str">
        <f t="shared" si="20"/>
        <v/>
      </c>
      <c r="I409" s="84" t="str">
        <f t="shared" si="21"/>
        <v/>
      </c>
      <c r="J409" s="84" t="str">
        <f t="shared" si="22"/>
        <v/>
      </c>
      <c r="K409" s="80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ht="15.75" customHeight="1" x14ac:dyDescent="0.25">
      <c r="A410" s="62"/>
      <c r="B410" s="62"/>
      <c r="C410" s="76"/>
      <c r="D410" s="77"/>
      <c r="E410" s="62"/>
      <c r="F410" s="83" t="str">
        <f t="shared" si="18"/>
        <v/>
      </c>
      <c r="G410" s="84" t="str">
        <f t="shared" si="19"/>
        <v/>
      </c>
      <c r="H410" s="84" t="str">
        <f t="shared" si="20"/>
        <v/>
      </c>
      <c r="I410" s="84" t="str">
        <f t="shared" si="21"/>
        <v/>
      </c>
      <c r="J410" s="84" t="str">
        <f t="shared" si="22"/>
        <v/>
      </c>
      <c r="K410" s="80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ht="15.75" customHeight="1" x14ac:dyDescent="0.25">
      <c r="A411" s="62"/>
      <c r="B411" s="62"/>
      <c r="C411" s="76"/>
      <c r="D411" s="77"/>
      <c r="E411" s="62"/>
      <c r="F411" s="83" t="str">
        <f t="shared" si="18"/>
        <v/>
      </c>
      <c r="G411" s="84" t="str">
        <f t="shared" si="19"/>
        <v/>
      </c>
      <c r="H411" s="84" t="str">
        <f t="shared" si="20"/>
        <v/>
      </c>
      <c r="I411" s="84" t="str">
        <f t="shared" si="21"/>
        <v/>
      </c>
      <c r="J411" s="84" t="str">
        <f t="shared" si="22"/>
        <v/>
      </c>
      <c r="K411" s="80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ht="15.75" customHeight="1" x14ac:dyDescent="0.25">
      <c r="A412" s="62"/>
      <c r="B412" s="62"/>
      <c r="C412" s="76"/>
      <c r="D412" s="77"/>
      <c r="E412" s="62"/>
      <c r="F412" s="83" t="str">
        <f t="shared" si="18"/>
        <v/>
      </c>
      <c r="G412" s="84" t="str">
        <f t="shared" si="19"/>
        <v/>
      </c>
      <c r="H412" s="84" t="str">
        <f t="shared" si="20"/>
        <v/>
      </c>
      <c r="I412" s="84" t="str">
        <f t="shared" si="21"/>
        <v/>
      </c>
      <c r="J412" s="84" t="str">
        <f t="shared" si="22"/>
        <v/>
      </c>
      <c r="K412" s="80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ht="15.75" customHeight="1" x14ac:dyDescent="0.25">
      <c r="A413" s="62"/>
      <c r="B413" s="62"/>
      <c r="C413" s="76"/>
      <c r="D413" s="77"/>
      <c r="E413" s="62"/>
      <c r="F413" s="83" t="str">
        <f t="shared" si="18"/>
        <v/>
      </c>
      <c r="G413" s="84" t="str">
        <f t="shared" si="19"/>
        <v/>
      </c>
      <c r="H413" s="84" t="str">
        <f t="shared" si="20"/>
        <v/>
      </c>
      <c r="I413" s="84" t="str">
        <f t="shared" si="21"/>
        <v/>
      </c>
      <c r="J413" s="84" t="str">
        <f t="shared" si="22"/>
        <v/>
      </c>
      <c r="K413" s="80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ht="15.75" customHeight="1" x14ac:dyDescent="0.25">
      <c r="A414" s="62"/>
      <c r="B414" s="62"/>
      <c r="C414" s="76"/>
      <c r="D414" s="77"/>
      <c r="E414" s="62"/>
      <c r="F414" s="83" t="str">
        <f t="shared" si="18"/>
        <v/>
      </c>
      <c r="G414" s="84" t="str">
        <f t="shared" si="19"/>
        <v/>
      </c>
      <c r="H414" s="84" t="str">
        <f t="shared" si="20"/>
        <v/>
      </c>
      <c r="I414" s="84" t="str">
        <f t="shared" si="21"/>
        <v/>
      </c>
      <c r="J414" s="84" t="str">
        <f t="shared" si="22"/>
        <v/>
      </c>
      <c r="K414" s="80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ht="15.75" customHeight="1" x14ac:dyDescent="0.25">
      <c r="A415" s="62"/>
      <c r="B415" s="62"/>
      <c r="C415" s="76"/>
      <c r="D415" s="77"/>
      <c r="E415" s="62"/>
      <c r="F415" s="83" t="str">
        <f t="shared" si="18"/>
        <v/>
      </c>
      <c r="G415" s="84" t="str">
        <f t="shared" si="19"/>
        <v/>
      </c>
      <c r="H415" s="84" t="str">
        <f t="shared" si="20"/>
        <v/>
      </c>
      <c r="I415" s="84" t="str">
        <f t="shared" si="21"/>
        <v/>
      </c>
      <c r="J415" s="84" t="str">
        <f t="shared" si="22"/>
        <v/>
      </c>
      <c r="K415" s="80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ht="15.75" customHeight="1" x14ac:dyDescent="0.25">
      <c r="A416" s="62"/>
      <c r="B416" s="62"/>
      <c r="C416" s="76"/>
      <c r="D416" s="77"/>
      <c r="E416" s="62"/>
      <c r="F416" s="83" t="str">
        <f t="shared" si="18"/>
        <v/>
      </c>
      <c r="G416" s="84" t="str">
        <f t="shared" si="19"/>
        <v/>
      </c>
      <c r="H416" s="84" t="str">
        <f t="shared" si="20"/>
        <v/>
      </c>
      <c r="I416" s="84" t="str">
        <f t="shared" si="21"/>
        <v/>
      </c>
      <c r="J416" s="84" t="str">
        <f t="shared" si="22"/>
        <v/>
      </c>
      <c r="K416" s="80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ht="15.75" customHeight="1" x14ac:dyDescent="0.25">
      <c r="A417" s="62"/>
      <c r="B417" s="62"/>
      <c r="C417" s="76"/>
      <c r="D417" s="77"/>
      <c r="E417" s="62"/>
      <c r="F417" s="83" t="str">
        <f t="shared" si="18"/>
        <v/>
      </c>
      <c r="G417" s="84" t="str">
        <f t="shared" si="19"/>
        <v/>
      </c>
      <c r="H417" s="84" t="str">
        <f t="shared" si="20"/>
        <v/>
      </c>
      <c r="I417" s="84" t="str">
        <f t="shared" si="21"/>
        <v/>
      </c>
      <c r="J417" s="84" t="str">
        <f t="shared" si="22"/>
        <v/>
      </c>
      <c r="K417" s="80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ht="15.75" customHeight="1" x14ac:dyDescent="0.25">
      <c r="A418" s="62"/>
      <c r="B418" s="62"/>
      <c r="C418" s="76"/>
      <c r="D418" s="77"/>
      <c r="E418" s="62"/>
      <c r="F418" s="83" t="str">
        <f t="shared" si="18"/>
        <v/>
      </c>
      <c r="G418" s="84" t="str">
        <f t="shared" si="19"/>
        <v/>
      </c>
      <c r="H418" s="84" t="str">
        <f t="shared" si="20"/>
        <v/>
      </c>
      <c r="I418" s="84" t="str">
        <f t="shared" si="21"/>
        <v/>
      </c>
      <c r="J418" s="84" t="str">
        <f t="shared" si="22"/>
        <v/>
      </c>
      <c r="K418" s="80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ht="15.75" customHeight="1" x14ac:dyDescent="0.25">
      <c r="A419" s="62"/>
      <c r="B419" s="62"/>
      <c r="C419" s="76"/>
      <c r="D419" s="77"/>
      <c r="E419" s="62"/>
      <c r="F419" s="83" t="str">
        <f t="shared" si="18"/>
        <v/>
      </c>
      <c r="G419" s="84" t="str">
        <f t="shared" si="19"/>
        <v/>
      </c>
      <c r="H419" s="84" t="str">
        <f t="shared" si="20"/>
        <v/>
      </c>
      <c r="I419" s="84" t="str">
        <f t="shared" si="21"/>
        <v/>
      </c>
      <c r="J419" s="84" t="str">
        <f t="shared" si="22"/>
        <v/>
      </c>
      <c r="K419" s="80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ht="15.75" customHeight="1" x14ac:dyDescent="0.25">
      <c r="A420" s="62"/>
      <c r="B420" s="62"/>
      <c r="C420" s="76"/>
      <c r="D420" s="77"/>
      <c r="E420" s="62"/>
      <c r="F420" s="83" t="str">
        <f t="shared" si="18"/>
        <v/>
      </c>
      <c r="G420" s="84" t="str">
        <f t="shared" si="19"/>
        <v/>
      </c>
      <c r="H420" s="84" t="str">
        <f t="shared" si="20"/>
        <v/>
      </c>
      <c r="I420" s="84" t="str">
        <f t="shared" si="21"/>
        <v/>
      </c>
      <c r="J420" s="84" t="str">
        <f t="shared" si="22"/>
        <v/>
      </c>
      <c r="K420" s="80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ht="15.75" customHeight="1" x14ac:dyDescent="0.25">
      <c r="A421" s="62"/>
      <c r="B421" s="62"/>
      <c r="C421" s="76"/>
      <c r="D421" s="77"/>
      <c r="E421" s="62"/>
      <c r="F421" s="83" t="str">
        <f t="shared" si="18"/>
        <v/>
      </c>
      <c r="G421" s="84" t="str">
        <f t="shared" si="19"/>
        <v/>
      </c>
      <c r="H421" s="84" t="str">
        <f t="shared" si="20"/>
        <v/>
      </c>
      <c r="I421" s="84" t="str">
        <f t="shared" si="21"/>
        <v/>
      </c>
      <c r="J421" s="84" t="str">
        <f t="shared" si="22"/>
        <v/>
      </c>
      <c r="K421" s="80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ht="15.75" customHeight="1" x14ac:dyDescent="0.25">
      <c r="A422" s="62"/>
      <c r="B422" s="62"/>
      <c r="C422" s="76"/>
      <c r="D422" s="77"/>
      <c r="E422" s="62"/>
      <c r="F422" s="83" t="str">
        <f t="shared" si="18"/>
        <v/>
      </c>
      <c r="G422" s="84" t="str">
        <f t="shared" si="19"/>
        <v/>
      </c>
      <c r="H422" s="84" t="str">
        <f t="shared" si="20"/>
        <v/>
      </c>
      <c r="I422" s="84" t="str">
        <f t="shared" si="21"/>
        <v/>
      </c>
      <c r="J422" s="84" t="str">
        <f t="shared" si="22"/>
        <v/>
      </c>
      <c r="K422" s="80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ht="15.75" customHeight="1" x14ac:dyDescent="0.25">
      <c r="A423" s="62"/>
      <c r="B423" s="62"/>
      <c r="C423" s="76"/>
      <c r="D423" s="77"/>
      <c r="E423" s="62"/>
      <c r="F423" s="83" t="str">
        <f t="shared" si="18"/>
        <v/>
      </c>
      <c r="G423" s="84" t="str">
        <f t="shared" si="19"/>
        <v/>
      </c>
      <c r="H423" s="84" t="str">
        <f t="shared" si="20"/>
        <v/>
      </c>
      <c r="I423" s="84" t="str">
        <f t="shared" si="21"/>
        <v/>
      </c>
      <c r="J423" s="84" t="str">
        <f t="shared" si="22"/>
        <v/>
      </c>
      <c r="K423" s="80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ht="15.75" customHeight="1" x14ac:dyDescent="0.25">
      <c r="A424" s="62"/>
      <c r="B424" s="62"/>
      <c r="C424" s="76"/>
      <c r="D424" s="77"/>
      <c r="E424" s="62"/>
      <c r="F424" s="83" t="str">
        <f t="shared" si="18"/>
        <v/>
      </c>
      <c r="G424" s="84" t="str">
        <f t="shared" si="19"/>
        <v/>
      </c>
      <c r="H424" s="84" t="str">
        <f t="shared" si="20"/>
        <v/>
      </c>
      <c r="I424" s="84" t="str">
        <f t="shared" si="21"/>
        <v/>
      </c>
      <c r="J424" s="84" t="str">
        <f t="shared" si="22"/>
        <v/>
      </c>
      <c r="K424" s="80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ht="15.75" customHeight="1" x14ac:dyDescent="0.25">
      <c r="A425" s="62"/>
      <c r="B425" s="62"/>
      <c r="C425" s="76"/>
      <c r="D425" s="77"/>
      <c r="E425" s="62"/>
      <c r="F425" s="83" t="str">
        <f t="shared" si="18"/>
        <v/>
      </c>
      <c r="G425" s="84" t="str">
        <f t="shared" si="19"/>
        <v/>
      </c>
      <c r="H425" s="84" t="str">
        <f t="shared" si="20"/>
        <v/>
      </c>
      <c r="I425" s="84" t="str">
        <f t="shared" si="21"/>
        <v/>
      </c>
      <c r="J425" s="84" t="str">
        <f t="shared" si="22"/>
        <v/>
      </c>
      <c r="K425" s="80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ht="15.75" customHeight="1" x14ac:dyDescent="0.25">
      <c r="A426" s="62"/>
      <c r="B426" s="62"/>
      <c r="C426" s="76"/>
      <c r="D426" s="77"/>
      <c r="E426" s="62"/>
      <c r="F426" s="83" t="str">
        <f t="shared" si="18"/>
        <v/>
      </c>
      <c r="G426" s="84" t="str">
        <f t="shared" si="19"/>
        <v/>
      </c>
      <c r="H426" s="84" t="str">
        <f t="shared" si="20"/>
        <v/>
      </c>
      <c r="I426" s="84" t="str">
        <f t="shared" si="21"/>
        <v/>
      </c>
      <c r="J426" s="84" t="str">
        <f t="shared" si="22"/>
        <v/>
      </c>
      <c r="K426" s="80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ht="15.75" customHeight="1" x14ac:dyDescent="0.25">
      <c r="A427" s="62"/>
      <c r="B427" s="62"/>
      <c r="C427" s="76"/>
      <c r="D427" s="77"/>
      <c r="E427" s="62"/>
      <c r="F427" s="83" t="str">
        <f t="shared" si="18"/>
        <v/>
      </c>
      <c r="G427" s="84" t="str">
        <f t="shared" si="19"/>
        <v/>
      </c>
      <c r="H427" s="84" t="str">
        <f t="shared" si="20"/>
        <v/>
      </c>
      <c r="I427" s="84" t="str">
        <f t="shared" si="21"/>
        <v/>
      </c>
      <c r="J427" s="84" t="str">
        <f t="shared" si="22"/>
        <v/>
      </c>
      <c r="K427" s="80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ht="15.75" customHeight="1" x14ac:dyDescent="0.25">
      <c r="A428" s="62"/>
      <c r="B428" s="62"/>
      <c r="C428" s="76"/>
      <c r="D428" s="77"/>
      <c r="E428" s="62"/>
      <c r="F428" s="83" t="str">
        <f t="shared" si="18"/>
        <v/>
      </c>
      <c r="G428" s="84" t="str">
        <f t="shared" si="19"/>
        <v/>
      </c>
      <c r="H428" s="84" t="str">
        <f t="shared" si="20"/>
        <v/>
      </c>
      <c r="I428" s="84" t="str">
        <f t="shared" si="21"/>
        <v/>
      </c>
      <c r="J428" s="84" t="str">
        <f t="shared" si="22"/>
        <v/>
      </c>
      <c r="K428" s="80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ht="15.75" customHeight="1" x14ac:dyDescent="0.25">
      <c r="A429" s="62"/>
      <c r="B429" s="62"/>
      <c r="C429" s="76"/>
      <c r="D429" s="77"/>
      <c r="E429" s="62"/>
      <c r="F429" s="83" t="str">
        <f t="shared" si="18"/>
        <v/>
      </c>
      <c r="G429" s="84" t="str">
        <f t="shared" si="19"/>
        <v/>
      </c>
      <c r="H429" s="84" t="str">
        <f t="shared" si="20"/>
        <v/>
      </c>
      <c r="I429" s="84" t="str">
        <f t="shared" si="21"/>
        <v/>
      </c>
      <c r="J429" s="84" t="str">
        <f t="shared" si="22"/>
        <v/>
      </c>
      <c r="K429" s="80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spans="1:26" ht="15.75" customHeight="1" x14ac:dyDescent="0.25">
      <c r="A430" s="62"/>
      <c r="B430" s="62"/>
      <c r="C430" s="76"/>
      <c r="D430" s="77"/>
      <c r="E430" s="62"/>
      <c r="F430" s="83" t="str">
        <f t="shared" si="18"/>
        <v/>
      </c>
      <c r="G430" s="84" t="str">
        <f t="shared" si="19"/>
        <v/>
      </c>
      <c r="H430" s="84" t="str">
        <f t="shared" si="20"/>
        <v/>
      </c>
      <c r="I430" s="84" t="str">
        <f t="shared" si="21"/>
        <v/>
      </c>
      <c r="J430" s="84" t="str">
        <f t="shared" si="22"/>
        <v/>
      </c>
      <c r="K430" s="80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spans="1:26" ht="15.75" customHeight="1" x14ac:dyDescent="0.25">
      <c r="A431" s="62"/>
      <c r="B431" s="62"/>
      <c r="C431" s="76"/>
      <c r="D431" s="77"/>
      <c r="E431" s="62"/>
      <c r="F431" s="83" t="str">
        <f t="shared" si="18"/>
        <v/>
      </c>
      <c r="G431" s="84" t="str">
        <f t="shared" si="19"/>
        <v/>
      </c>
      <c r="H431" s="84" t="str">
        <f t="shared" si="20"/>
        <v/>
      </c>
      <c r="I431" s="84" t="str">
        <f t="shared" si="21"/>
        <v/>
      </c>
      <c r="J431" s="84" t="str">
        <f t="shared" si="22"/>
        <v/>
      </c>
      <c r="K431" s="80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spans="1:26" ht="15.75" customHeight="1" x14ac:dyDescent="0.25">
      <c r="A432" s="62"/>
      <c r="B432" s="62"/>
      <c r="C432" s="76"/>
      <c r="D432" s="77"/>
      <c r="E432" s="62"/>
      <c r="F432" s="83" t="str">
        <f t="shared" si="18"/>
        <v/>
      </c>
      <c r="G432" s="84" t="str">
        <f t="shared" si="19"/>
        <v/>
      </c>
      <c r="H432" s="84" t="str">
        <f t="shared" si="20"/>
        <v/>
      </c>
      <c r="I432" s="84" t="str">
        <f t="shared" si="21"/>
        <v/>
      </c>
      <c r="J432" s="84" t="str">
        <f t="shared" si="22"/>
        <v/>
      </c>
      <c r="K432" s="80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spans="1:26" ht="15.75" customHeight="1" x14ac:dyDescent="0.25">
      <c r="A433" s="62"/>
      <c r="B433" s="62"/>
      <c r="C433" s="76"/>
      <c r="D433" s="77"/>
      <c r="E433" s="62"/>
      <c r="F433" s="83" t="str">
        <f t="shared" si="18"/>
        <v/>
      </c>
      <c r="G433" s="84" t="str">
        <f t="shared" si="19"/>
        <v/>
      </c>
      <c r="H433" s="84" t="str">
        <f t="shared" si="20"/>
        <v/>
      </c>
      <c r="I433" s="84" t="str">
        <f t="shared" si="21"/>
        <v/>
      </c>
      <c r="J433" s="84" t="str">
        <f t="shared" si="22"/>
        <v/>
      </c>
      <c r="K433" s="80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spans="1:26" ht="15.75" customHeight="1" x14ac:dyDescent="0.25">
      <c r="A434" s="62"/>
      <c r="B434" s="62"/>
      <c r="C434" s="76"/>
      <c r="D434" s="77"/>
      <c r="E434" s="62"/>
      <c r="F434" s="83" t="str">
        <f t="shared" si="18"/>
        <v/>
      </c>
      <c r="G434" s="84" t="str">
        <f t="shared" si="19"/>
        <v/>
      </c>
      <c r="H434" s="84" t="str">
        <f t="shared" si="20"/>
        <v/>
      </c>
      <c r="I434" s="84" t="str">
        <f t="shared" si="21"/>
        <v/>
      </c>
      <c r="J434" s="84" t="str">
        <f t="shared" si="22"/>
        <v/>
      </c>
      <c r="K434" s="80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spans="1:26" ht="15.75" customHeight="1" x14ac:dyDescent="0.25">
      <c r="A435" s="62"/>
      <c r="B435" s="62"/>
      <c r="C435" s="76"/>
      <c r="D435" s="77"/>
      <c r="E435" s="62"/>
      <c r="F435" s="83" t="str">
        <f t="shared" si="18"/>
        <v/>
      </c>
      <c r="G435" s="84" t="str">
        <f t="shared" si="19"/>
        <v/>
      </c>
      <c r="H435" s="84" t="str">
        <f t="shared" si="20"/>
        <v/>
      </c>
      <c r="I435" s="84" t="str">
        <f t="shared" si="21"/>
        <v/>
      </c>
      <c r="J435" s="84" t="str">
        <f t="shared" si="22"/>
        <v/>
      </c>
      <c r="K435" s="80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spans="1:26" ht="15.75" customHeight="1" x14ac:dyDescent="0.25">
      <c r="A436" s="62"/>
      <c r="B436" s="62"/>
      <c r="C436" s="76"/>
      <c r="D436" s="77"/>
      <c r="E436" s="62"/>
      <c r="F436" s="83" t="str">
        <f t="shared" si="18"/>
        <v/>
      </c>
      <c r="G436" s="84" t="str">
        <f t="shared" si="19"/>
        <v/>
      </c>
      <c r="H436" s="84" t="str">
        <f t="shared" si="20"/>
        <v/>
      </c>
      <c r="I436" s="84" t="str">
        <f t="shared" si="21"/>
        <v/>
      </c>
      <c r="J436" s="84" t="str">
        <f t="shared" si="22"/>
        <v/>
      </c>
      <c r="K436" s="80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spans="1:26" ht="15.75" customHeight="1" x14ac:dyDescent="0.25">
      <c r="A437" s="62"/>
      <c r="B437" s="62"/>
      <c r="C437" s="76"/>
      <c r="D437" s="77"/>
      <c r="E437" s="62"/>
      <c r="F437" s="83" t="str">
        <f t="shared" si="18"/>
        <v/>
      </c>
      <c r="G437" s="84" t="str">
        <f t="shared" si="19"/>
        <v/>
      </c>
      <c r="H437" s="84" t="str">
        <f t="shared" si="20"/>
        <v/>
      </c>
      <c r="I437" s="84" t="str">
        <f t="shared" si="21"/>
        <v/>
      </c>
      <c r="J437" s="84" t="str">
        <f t="shared" si="22"/>
        <v/>
      </c>
      <c r="K437" s="80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spans="1:26" ht="15.75" customHeight="1" x14ac:dyDescent="0.25">
      <c r="A438" s="62"/>
      <c r="B438" s="62"/>
      <c r="C438" s="76"/>
      <c r="D438" s="77"/>
      <c r="E438" s="62"/>
      <c r="F438" s="83" t="str">
        <f t="shared" si="18"/>
        <v/>
      </c>
      <c r="G438" s="84" t="str">
        <f t="shared" si="19"/>
        <v/>
      </c>
      <c r="H438" s="84" t="str">
        <f t="shared" si="20"/>
        <v/>
      </c>
      <c r="I438" s="84" t="str">
        <f t="shared" si="21"/>
        <v/>
      </c>
      <c r="J438" s="84" t="str">
        <f t="shared" si="22"/>
        <v/>
      </c>
      <c r="K438" s="80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spans="1:26" ht="15.75" customHeight="1" x14ac:dyDescent="0.25">
      <c r="A439" s="62"/>
      <c r="B439" s="62"/>
      <c r="C439" s="76"/>
      <c r="D439" s="77"/>
      <c r="E439" s="62"/>
      <c r="F439" s="83" t="str">
        <f t="shared" si="18"/>
        <v/>
      </c>
      <c r="G439" s="84" t="str">
        <f t="shared" si="19"/>
        <v/>
      </c>
      <c r="H439" s="84" t="str">
        <f t="shared" si="20"/>
        <v/>
      </c>
      <c r="I439" s="84" t="str">
        <f t="shared" si="21"/>
        <v/>
      </c>
      <c r="J439" s="84" t="str">
        <f t="shared" si="22"/>
        <v/>
      </c>
      <c r="K439" s="80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spans="1:26" ht="15.75" customHeight="1" x14ac:dyDescent="0.25">
      <c r="A440" s="62"/>
      <c r="B440" s="62"/>
      <c r="C440" s="76"/>
      <c r="D440" s="77"/>
      <c r="E440" s="62"/>
      <c r="F440" s="83" t="str">
        <f t="shared" si="18"/>
        <v/>
      </c>
      <c r="G440" s="84" t="str">
        <f t="shared" si="19"/>
        <v/>
      </c>
      <c r="H440" s="84" t="str">
        <f t="shared" si="20"/>
        <v/>
      </c>
      <c r="I440" s="84" t="str">
        <f t="shared" si="21"/>
        <v/>
      </c>
      <c r="J440" s="84" t="str">
        <f t="shared" si="22"/>
        <v/>
      </c>
      <c r="K440" s="80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spans="1:26" ht="15.75" customHeight="1" x14ac:dyDescent="0.25">
      <c r="A441" s="62"/>
      <c r="B441" s="62"/>
      <c r="C441" s="76"/>
      <c r="D441" s="77"/>
      <c r="E441" s="62"/>
      <c r="F441" s="83" t="str">
        <f t="shared" si="18"/>
        <v/>
      </c>
      <c r="G441" s="84" t="str">
        <f t="shared" si="19"/>
        <v/>
      </c>
      <c r="H441" s="84" t="str">
        <f t="shared" si="20"/>
        <v/>
      </c>
      <c r="I441" s="84" t="str">
        <f t="shared" si="21"/>
        <v/>
      </c>
      <c r="J441" s="84" t="str">
        <f t="shared" si="22"/>
        <v/>
      </c>
      <c r="K441" s="80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spans="1:26" ht="15.75" customHeight="1" x14ac:dyDescent="0.25">
      <c r="A442" s="62"/>
      <c r="B442" s="62"/>
      <c r="C442" s="76"/>
      <c r="D442" s="77"/>
      <c r="E442" s="62"/>
      <c r="F442" s="83" t="str">
        <f t="shared" si="18"/>
        <v/>
      </c>
      <c r="G442" s="84" t="str">
        <f t="shared" si="19"/>
        <v/>
      </c>
      <c r="H442" s="84" t="str">
        <f t="shared" si="20"/>
        <v/>
      </c>
      <c r="I442" s="84" t="str">
        <f t="shared" si="21"/>
        <v/>
      </c>
      <c r="J442" s="84" t="str">
        <f t="shared" si="22"/>
        <v/>
      </c>
      <c r="K442" s="80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spans="1:26" ht="15.75" customHeight="1" x14ac:dyDescent="0.25">
      <c r="A443" s="62"/>
      <c r="B443" s="62"/>
      <c r="C443" s="76"/>
      <c r="D443" s="77"/>
      <c r="E443" s="62"/>
      <c r="F443" s="83" t="str">
        <f t="shared" si="18"/>
        <v/>
      </c>
      <c r="G443" s="84" t="str">
        <f t="shared" si="19"/>
        <v/>
      </c>
      <c r="H443" s="84" t="str">
        <f t="shared" si="20"/>
        <v/>
      </c>
      <c r="I443" s="84" t="str">
        <f t="shared" si="21"/>
        <v/>
      </c>
      <c r="J443" s="84" t="str">
        <f t="shared" si="22"/>
        <v/>
      </c>
      <c r="K443" s="80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spans="1:26" ht="15.75" customHeight="1" x14ac:dyDescent="0.25">
      <c r="A444" s="62"/>
      <c r="B444" s="62"/>
      <c r="C444" s="76"/>
      <c r="D444" s="77"/>
      <c r="E444" s="62"/>
      <c r="F444" s="83" t="str">
        <f t="shared" si="18"/>
        <v/>
      </c>
      <c r="G444" s="84" t="str">
        <f t="shared" si="19"/>
        <v/>
      </c>
      <c r="H444" s="84" t="str">
        <f t="shared" si="20"/>
        <v/>
      </c>
      <c r="I444" s="84" t="str">
        <f t="shared" si="21"/>
        <v/>
      </c>
      <c r="J444" s="84" t="str">
        <f t="shared" si="22"/>
        <v/>
      </c>
      <c r="K444" s="80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spans="1:26" ht="15.75" customHeight="1" x14ac:dyDescent="0.25">
      <c r="A445" s="62"/>
      <c r="B445" s="62"/>
      <c r="C445" s="76"/>
      <c r="D445" s="77"/>
      <c r="E445" s="62"/>
      <c r="F445" s="83" t="str">
        <f t="shared" si="18"/>
        <v/>
      </c>
      <c r="G445" s="84" t="str">
        <f t="shared" si="19"/>
        <v/>
      </c>
      <c r="H445" s="84" t="str">
        <f t="shared" si="20"/>
        <v/>
      </c>
      <c r="I445" s="84" t="str">
        <f t="shared" si="21"/>
        <v/>
      </c>
      <c r="J445" s="84" t="str">
        <f t="shared" si="22"/>
        <v/>
      </c>
      <c r="K445" s="80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spans="1:26" ht="15.75" customHeight="1" x14ac:dyDescent="0.25">
      <c r="A446" s="62"/>
      <c r="B446" s="62"/>
      <c r="C446" s="76"/>
      <c r="D446" s="77"/>
      <c r="E446" s="62"/>
      <c r="F446" s="83" t="str">
        <f t="shared" si="18"/>
        <v/>
      </c>
      <c r="G446" s="84" t="str">
        <f t="shared" si="19"/>
        <v/>
      </c>
      <c r="H446" s="84" t="str">
        <f t="shared" si="20"/>
        <v/>
      </c>
      <c r="I446" s="84" t="str">
        <f t="shared" si="21"/>
        <v/>
      </c>
      <c r="J446" s="84" t="str">
        <f t="shared" si="22"/>
        <v/>
      </c>
      <c r="K446" s="80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spans="1:26" ht="15.75" customHeight="1" x14ac:dyDescent="0.25">
      <c r="A447" s="62"/>
      <c r="B447" s="62"/>
      <c r="C447" s="76"/>
      <c r="D447" s="77"/>
      <c r="E447" s="62"/>
      <c r="F447" s="83" t="str">
        <f t="shared" si="18"/>
        <v/>
      </c>
      <c r="G447" s="84" t="str">
        <f t="shared" si="19"/>
        <v/>
      </c>
      <c r="H447" s="84" t="str">
        <f t="shared" si="20"/>
        <v/>
      </c>
      <c r="I447" s="84" t="str">
        <f t="shared" si="21"/>
        <v/>
      </c>
      <c r="J447" s="84" t="str">
        <f t="shared" si="22"/>
        <v/>
      </c>
      <c r="K447" s="80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spans="1:26" ht="15.75" customHeight="1" x14ac:dyDescent="0.25">
      <c r="A448" s="62"/>
      <c r="B448" s="62"/>
      <c r="C448" s="76"/>
      <c r="D448" s="77"/>
      <c r="E448" s="62"/>
      <c r="F448" s="83" t="str">
        <f t="shared" si="18"/>
        <v/>
      </c>
      <c r="G448" s="84" t="str">
        <f t="shared" si="19"/>
        <v/>
      </c>
      <c r="H448" s="84" t="str">
        <f t="shared" si="20"/>
        <v/>
      </c>
      <c r="I448" s="84" t="str">
        <f t="shared" si="21"/>
        <v/>
      </c>
      <c r="J448" s="84" t="str">
        <f t="shared" si="22"/>
        <v/>
      </c>
      <c r="K448" s="80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spans="1:26" ht="15.75" customHeight="1" x14ac:dyDescent="0.25">
      <c r="A449" s="62"/>
      <c r="B449" s="62"/>
      <c r="C449" s="76"/>
      <c r="D449" s="77"/>
      <c r="E449" s="62"/>
      <c r="F449" s="83" t="str">
        <f t="shared" si="18"/>
        <v/>
      </c>
      <c r="G449" s="84" t="str">
        <f t="shared" si="19"/>
        <v/>
      </c>
      <c r="H449" s="84" t="str">
        <f t="shared" si="20"/>
        <v/>
      </c>
      <c r="I449" s="84" t="str">
        <f t="shared" si="21"/>
        <v/>
      </c>
      <c r="J449" s="84" t="str">
        <f t="shared" si="22"/>
        <v/>
      </c>
      <c r="K449" s="80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spans="1:26" ht="15.75" customHeight="1" x14ac:dyDescent="0.25">
      <c r="A450" s="62"/>
      <c r="B450" s="62"/>
      <c r="C450" s="76"/>
      <c r="D450" s="77"/>
      <c r="E450" s="62"/>
      <c r="F450" s="83" t="str">
        <f t="shared" si="18"/>
        <v/>
      </c>
      <c r="G450" s="84" t="str">
        <f t="shared" si="19"/>
        <v/>
      </c>
      <c r="H450" s="84" t="str">
        <f t="shared" si="20"/>
        <v/>
      </c>
      <c r="I450" s="84" t="str">
        <f t="shared" si="21"/>
        <v/>
      </c>
      <c r="J450" s="84" t="str">
        <f t="shared" si="22"/>
        <v/>
      </c>
      <c r="K450" s="80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spans="1:26" ht="15.75" customHeight="1" x14ac:dyDescent="0.25">
      <c r="A451" s="62"/>
      <c r="B451" s="62"/>
      <c r="C451" s="76"/>
      <c r="D451" s="77"/>
      <c r="E451" s="62"/>
      <c r="F451" s="83" t="str">
        <f t="shared" si="18"/>
        <v/>
      </c>
      <c r="G451" s="84" t="str">
        <f t="shared" si="19"/>
        <v/>
      </c>
      <c r="H451" s="84" t="str">
        <f t="shared" si="20"/>
        <v/>
      </c>
      <c r="I451" s="84" t="str">
        <f t="shared" si="21"/>
        <v/>
      </c>
      <c r="J451" s="84" t="str">
        <f t="shared" si="22"/>
        <v/>
      </c>
      <c r="K451" s="80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spans="1:26" ht="15.75" customHeight="1" x14ac:dyDescent="0.25">
      <c r="A452" s="62"/>
      <c r="B452" s="62"/>
      <c r="C452" s="76"/>
      <c r="D452" s="77"/>
      <c r="E452" s="62"/>
      <c r="F452" s="83" t="str">
        <f t="shared" si="18"/>
        <v/>
      </c>
      <c r="G452" s="84" t="str">
        <f t="shared" si="19"/>
        <v/>
      </c>
      <c r="H452" s="84" t="str">
        <f t="shared" si="20"/>
        <v/>
      </c>
      <c r="I452" s="84" t="str">
        <f t="shared" si="21"/>
        <v/>
      </c>
      <c r="J452" s="84" t="str">
        <f t="shared" si="22"/>
        <v/>
      </c>
      <c r="K452" s="80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spans="1:26" ht="15.75" customHeight="1" x14ac:dyDescent="0.25">
      <c r="A453" s="62"/>
      <c r="B453" s="62"/>
      <c r="C453" s="76"/>
      <c r="D453" s="77"/>
      <c r="E453" s="62"/>
      <c r="F453" s="83" t="str">
        <f t="shared" si="18"/>
        <v/>
      </c>
      <c r="G453" s="84" t="str">
        <f t="shared" si="19"/>
        <v/>
      </c>
      <c r="H453" s="84" t="str">
        <f t="shared" si="20"/>
        <v/>
      </c>
      <c r="I453" s="84" t="str">
        <f t="shared" si="21"/>
        <v/>
      </c>
      <c r="J453" s="84" t="str">
        <f t="shared" si="22"/>
        <v/>
      </c>
      <c r="K453" s="80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spans="1:26" ht="15.75" customHeight="1" x14ac:dyDescent="0.25">
      <c r="A454" s="62"/>
      <c r="B454" s="62"/>
      <c r="C454" s="76"/>
      <c r="D454" s="77"/>
      <c r="E454" s="62"/>
      <c r="F454" s="83" t="str">
        <f t="shared" si="18"/>
        <v/>
      </c>
      <c r="G454" s="84" t="str">
        <f t="shared" si="19"/>
        <v/>
      </c>
      <c r="H454" s="84" t="str">
        <f t="shared" si="20"/>
        <v/>
      </c>
      <c r="I454" s="84" t="str">
        <f t="shared" si="21"/>
        <v/>
      </c>
      <c r="J454" s="84" t="str">
        <f t="shared" si="22"/>
        <v/>
      </c>
      <c r="K454" s="80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spans="1:26" ht="15.75" customHeight="1" x14ac:dyDescent="0.25">
      <c r="A455" s="62"/>
      <c r="B455" s="62"/>
      <c r="C455" s="76"/>
      <c r="D455" s="77"/>
      <c r="E455" s="62"/>
      <c r="F455" s="83" t="str">
        <f t="shared" si="18"/>
        <v/>
      </c>
      <c r="G455" s="84" t="str">
        <f t="shared" si="19"/>
        <v/>
      </c>
      <c r="H455" s="84" t="str">
        <f t="shared" si="20"/>
        <v/>
      </c>
      <c r="I455" s="84" t="str">
        <f t="shared" si="21"/>
        <v/>
      </c>
      <c r="J455" s="84" t="str">
        <f t="shared" si="22"/>
        <v/>
      </c>
      <c r="K455" s="80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spans="1:26" ht="15.75" customHeight="1" x14ac:dyDescent="0.25">
      <c r="A456" s="62"/>
      <c r="B456" s="62"/>
      <c r="C456" s="76"/>
      <c r="D456" s="77"/>
      <c r="E456" s="62"/>
      <c r="F456" s="83" t="str">
        <f t="shared" si="18"/>
        <v/>
      </c>
      <c r="G456" s="84" t="str">
        <f t="shared" si="19"/>
        <v/>
      </c>
      <c r="H456" s="84" t="str">
        <f t="shared" si="20"/>
        <v/>
      </c>
      <c r="I456" s="84" t="str">
        <f t="shared" si="21"/>
        <v/>
      </c>
      <c r="J456" s="84" t="str">
        <f t="shared" si="22"/>
        <v/>
      </c>
      <c r="K456" s="80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spans="1:26" ht="15.75" customHeight="1" x14ac:dyDescent="0.25">
      <c r="A457" s="62"/>
      <c r="B457" s="62"/>
      <c r="C457" s="76"/>
      <c r="D457" s="77"/>
      <c r="E457" s="62"/>
      <c r="F457" s="83" t="str">
        <f t="shared" si="18"/>
        <v/>
      </c>
      <c r="G457" s="84" t="str">
        <f t="shared" si="19"/>
        <v/>
      </c>
      <c r="H457" s="84" t="str">
        <f t="shared" si="20"/>
        <v/>
      </c>
      <c r="I457" s="84" t="str">
        <f t="shared" si="21"/>
        <v/>
      </c>
      <c r="J457" s="84" t="str">
        <f t="shared" si="22"/>
        <v/>
      </c>
      <c r="K457" s="80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spans="1:26" ht="15.75" customHeight="1" x14ac:dyDescent="0.25">
      <c r="A458" s="62"/>
      <c r="B458" s="62"/>
      <c r="C458" s="76"/>
      <c r="D458" s="77"/>
      <c r="E458" s="62"/>
      <c r="F458" s="83" t="str">
        <f t="shared" si="18"/>
        <v/>
      </c>
      <c r="G458" s="84" t="str">
        <f t="shared" si="19"/>
        <v/>
      </c>
      <c r="H458" s="84" t="str">
        <f t="shared" si="20"/>
        <v/>
      </c>
      <c r="I458" s="84" t="str">
        <f t="shared" si="21"/>
        <v/>
      </c>
      <c r="J458" s="84" t="str">
        <f t="shared" si="22"/>
        <v/>
      </c>
      <c r="K458" s="80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spans="1:26" ht="15.75" customHeight="1" x14ac:dyDescent="0.25">
      <c r="A459" s="62"/>
      <c r="B459" s="62"/>
      <c r="C459" s="76"/>
      <c r="D459" s="77"/>
      <c r="E459" s="62"/>
      <c r="F459" s="83" t="str">
        <f t="shared" si="18"/>
        <v/>
      </c>
      <c r="G459" s="84" t="str">
        <f t="shared" si="19"/>
        <v/>
      </c>
      <c r="H459" s="84" t="str">
        <f t="shared" si="20"/>
        <v/>
      </c>
      <c r="I459" s="84" t="str">
        <f t="shared" si="21"/>
        <v/>
      </c>
      <c r="J459" s="84" t="str">
        <f t="shared" si="22"/>
        <v/>
      </c>
      <c r="K459" s="80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spans="1:26" ht="15.75" customHeight="1" x14ac:dyDescent="0.25">
      <c r="A460" s="62"/>
      <c r="B460" s="62"/>
      <c r="C460" s="76"/>
      <c r="D460" s="77"/>
      <c r="E460" s="62"/>
      <c r="F460" s="83" t="str">
        <f t="shared" si="18"/>
        <v/>
      </c>
      <c r="G460" s="84" t="str">
        <f t="shared" si="19"/>
        <v/>
      </c>
      <c r="H460" s="84" t="str">
        <f t="shared" si="20"/>
        <v/>
      </c>
      <c r="I460" s="84" t="str">
        <f t="shared" si="21"/>
        <v/>
      </c>
      <c r="J460" s="84" t="str">
        <f t="shared" si="22"/>
        <v/>
      </c>
      <c r="K460" s="80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spans="1:26" ht="15.75" customHeight="1" x14ac:dyDescent="0.25">
      <c r="A461" s="62"/>
      <c r="B461" s="62"/>
      <c r="C461" s="76"/>
      <c r="D461" s="77"/>
      <c r="E461" s="62"/>
      <c r="F461" s="83" t="str">
        <f t="shared" si="18"/>
        <v/>
      </c>
      <c r="G461" s="84" t="str">
        <f t="shared" si="19"/>
        <v/>
      </c>
      <c r="H461" s="84" t="str">
        <f t="shared" si="20"/>
        <v/>
      </c>
      <c r="I461" s="84" t="str">
        <f t="shared" si="21"/>
        <v/>
      </c>
      <c r="J461" s="84" t="str">
        <f t="shared" si="22"/>
        <v/>
      </c>
      <c r="K461" s="80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spans="1:26" ht="15.75" customHeight="1" x14ac:dyDescent="0.25">
      <c r="A462" s="62"/>
      <c r="B462" s="62"/>
      <c r="C462" s="76"/>
      <c r="D462" s="77"/>
      <c r="E462" s="62"/>
      <c r="F462" s="83" t="str">
        <f t="shared" si="18"/>
        <v/>
      </c>
      <c r="G462" s="84" t="str">
        <f t="shared" si="19"/>
        <v/>
      </c>
      <c r="H462" s="84" t="str">
        <f t="shared" si="20"/>
        <v/>
      </c>
      <c r="I462" s="84" t="str">
        <f t="shared" si="21"/>
        <v/>
      </c>
      <c r="J462" s="84" t="str">
        <f t="shared" si="22"/>
        <v/>
      </c>
      <c r="K462" s="80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spans="1:26" ht="15.75" customHeight="1" x14ac:dyDescent="0.25">
      <c r="A463" s="62"/>
      <c r="B463" s="62"/>
      <c r="C463" s="76"/>
      <c r="D463" s="77"/>
      <c r="E463" s="62"/>
      <c r="F463" s="83" t="str">
        <f t="shared" si="18"/>
        <v/>
      </c>
      <c r="G463" s="84" t="str">
        <f t="shared" si="19"/>
        <v/>
      </c>
      <c r="H463" s="84" t="str">
        <f t="shared" si="20"/>
        <v/>
      </c>
      <c r="I463" s="84" t="str">
        <f t="shared" si="21"/>
        <v/>
      </c>
      <c r="J463" s="84" t="str">
        <f t="shared" si="22"/>
        <v/>
      </c>
      <c r="K463" s="80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spans="1:26" ht="15.75" customHeight="1" x14ac:dyDescent="0.25">
      <c r="A464" s="62"/>
      <c r="B464" s="62"/>
      <c r="C464" s="76"/>
      <c r="D464" s="77"/>
      <c r="E464" s="62"/>
      <c r="F464" s="83" t="str">
        <f t="shared" si="18"/>
        <v/>
      </c>
      <c r="G464" s="84" t="str">
        <f t="shared" si="19"/>
        <v/>
      </c>
      <c r="H464" s="84" t="str">
        <f t="shared" si="20"/>
        <v/>
      </c>
      <c r="I464" s="84" t="str">
        <f t="shared" si="21"/>
        <v/>
      </c>
      <c r="J464" s="84" t="str">
        <f t="shared" si="22"/>
        <v/>
      </c>
      <c r="K464" s="80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spans="1:26" ht="15.75" customHeight="1" x14ac:dyDescent="0.25">
      <c r="A465" s="62"/>
      <c r="B465" s="62"/>
      <c r="C465" s="76"/>
      <c r="D465" s="77"/>
      <c r="E465" s="62"/>
      <c r="F465" s="83" t="str">
        <f t="shared" si="18"/>
        <v/>
      </c>
      <c r="G465" s="84" t="str">
        <f t="shared" si="19"/>
        <v/>
      </c>
      <c r="H465" s="84" t="str">
        <f t="shared" si="20"/>
        <v/>
      </c>
      <c r="I465" s="84" t="str">
        <f t="shared" si="21"/>
        <v/>
      </c>
      <c r="J465" s="84" t="str">
        <f t="shared" si="22"/>
        <v/>
      </c>
      <c r="K465" s="80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spans="1:26" ht="15.75" customHeight="1" x14ac:dyDescent="0.25">
      <c r="A466" s="62"/>
      <c r="B466" s="62"/>
      <c r="C466" s="76"/>
      <c r="D466" s="77"/>
      <c r="E466" s="62"/>
      <c r="F466" s="83" t="str">
        <f t="shared" si="18"/>
        <v/>
      </c>
      <c r="G466" s="84" t="str">
        <f t="shared" si="19"/>
        <v/>
      </c>
      <c r="H466" s="84" t="str">
        <f t="shared" si="20"/>
        <v/>
      </c>
      <c r="I466" s="84" t="str">
        <f t="shared" si="21"/>
        <v/>
      </c>
      <c r="J466" s="84" t="str">
        <f t="shared" si="22"/>
        <v/>
      </c>
      <c r="K466" s="80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spans="1:26" ht="15.75" customHeight="1" x14ac:dyDescent="0.25">
      <c r="A467" s="62"/>
      <c r="B467" s="62"/>
      <c r="C467" s="76"/>
      <c r="D467" s="77"/>
      <c r="E467" s="62"/>
      <c r="F467" s="83" t="str">
        <f t="shared" si="18"/>
        <v/>
      </c>
      <c r="G467" s="84" t="str">
        <f t="shared" si="19"/>
        <v/>
      </c>
      <c r="H467" s="84" t="str">
        <f t="shared" si="20"/>
        <v/>
      </c>
      <c r="I467" s="84" t="str">
        <f t="shared" si="21"/>
        <v/>
      </c>
      <c r="J467" s="84" t="str">
        <f t="shared" si="22"/>
        <v/>
      </c>
      <c r="K467" s="80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spans="1:26" ht="15.75" customHeight="1" x14ac:dyDescent="0.25">
      <c r="A468" s="62"/>
      <c r="B468" s="62"/>
      <c r="C468" s="76"/>
      <c r="D468" s="77"/>
      <c r="E468" s="62"/>
      <c r="F468" s="83" t="str">
        <f t="shared" si="18"/>
        <v/>
      </c>
      <c r="G468" s="84" t="str">
        <f t="shared" si="19"/>
        <v/>
      </c>
      <c r="H468" s="84" t="str">
        <f t="shared" si="20"/>
        <v/>
      </c>
      <c r="I468" s="84" t="str">
        <f t="shared" si="21"/>
        <v/>
      </c>
      <c r="J468" s="84" t="str">
        <f t="shared" si="22"/>
        <v/>
      </c>
      <c r="K468" s="80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spans="1:26" ht="15.75" customHeight="1" x14ac:dyDescent="0.25">
      <c r="A469" s="62"/>
      <c r="B469" s="62"/>
      <c r="C469" s="76"/>
      <c r="D469" s="77"/>
      <c r="E469" s="62"/>
      <c r="F469" s="83" t="str">
        <f t="shared" si="18"/>
        <v/>
      </c>
      <c r="G469" s="84" t="str">
        <f t="shared" si="19"/>
        <v/>
      </c>
      <c r="H469" s="84" t="str">
        <f t="shared" si="20"/>
        <v/>
      </c>
      <c r="I469" s="84" t="str">
        <f t="shared" si="21"/>
        <v/>
      </c>
      <c r="J469" s="84" t="str">
        <f t="shared" si="22"/>
        <v/>
      </c>
      <c r="K469" s="80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spans="1:26" ht="15.75" customHeight="1" x14ac:dyDescent="0.25">
      <c r="A470" s="62"/>
      <c r="B470" s="62"/>
      <c r="C470" s="76"/>
      <c r="D470" s="77"/>
      <c r="E470" s="62"/>
      <c r="F470" s="83" t="str">
        <f t="shared" si="18"/>
        <v/>
      </c>
      <c r="G470" s="84" t="str">
        <f t="shared" si="19"/>
        <v/>
      </c>
      <c r="H470" s="84" t="str">
        <f t="shared" si="20"/>
        <v/>
      </c>
      <c r="I470" s="84" t="str">
        <f t="shared" si="21"/>
        <v/>
      </c>
      <c r="J470" s="84" t="str">
        <f t="shared" si="22"/>
        <v/>
      </c>
      <c r="K470" s="80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spans="1:26" ht="15.75" customHeight="1" x14ac:dyDescent="0.25">
      <c r="A471" s="62"/>
      <c r="B471" s="62"/>
      <c r="C471" s="76"/>
      <c r="D471" s="77"/>
      <c r="E471" s="62"/>
      <c r="F471" s="83" t="str">
        <f t="shared" si="18"/>
        <v/>
      </c>
      <c r="G471" s="84" t="str">
        <f t="shared" si="19"/>
        <v/>
      </c>
      <c r="H471" s="84" t="str">
        <f t="shared" si="20"/>
        <v/>
      </c>
      <c r="I471" s="84" t="str">
        <f t="shared" si="21"/>
        <v/>
      </c>
      <c r="J471" s="84" t="str">
        <f t="shared" si="22"/>
        <v/>
      </c>
      <c r="K471" s="80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spans="1:26" ht="15.75" customHeight="1" x14ac:dyDescent="0.25">
      <c r="A472" s="62"/>
      <c r="B472" s="62"/>
      <c r="C472" s="76"/>
      <c r="D472" s="77"/>
      <c r="E472" s="62"/>
      <c r="F472" s="83" t="str">
        <f t="shared" si="18"/>
        <v/>
      </c>
      <c r="G472" s="84" t="str">
        <f t="shared" si="19"/>
        <v/>
      </c>
      <c r="H472" s="84" t="str">
        <f t="shared" si="20"/>
        <v/>
      </c>
      <c r="I472" s="84" t="str">
        <f t="shared" si="21"/>
        <v/>
      </c>
      <c r="J472" s="84" t="str">
        <f t="shared" si="22"/>
        <v/>
      </c>
      <c r="K472" s="80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spans="1:26" ht="15.75" customHeight="1" x14ac:dyDescent="0.25">
      <c r="A473" s="62"/>
      <c r="B473" s="62"/>
      <c r="C473" s="76"/>
      <c r="D473" s="77"/>
      <c r="E473" s="62"/>
      <c r="F473" s="83" t="str">
        <f t="shared" si="18"/>
        <v/>
      </c>
      <c r="G473" s="84" t="str">
        <f t="shared" si="19"/>
        <v/>
      </c>
      <c r="H473" s="84" t="str">
        <f t="shared" si="20"/>
        <v/>
      </c>
      <c r="I473" s="84" t="str">
        <f t="shared" si="21"/>
        <v/>
      </c>
      <c r="J473" s="84" t="str">
        <f t="shared" si="22"/>
        <v/>
      </c>
      <c r="K473" s="80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spans="1:26" ht="15.75" customHeight="1" x14ac:dyDescent="0.25">
      <c r="A474" s="62"/>
      <c r="B474" s="62"/>
      <c r="C474" s="76"/>
      <c r="D474" s="77"/>
      <c r="E474" s="62"/>
      <c r="F474" s="83" t="str">
        <f t="shared" si="18"/>
        <v/>
      </c>
      <c r="G474" s="84" t="str">
        <f t="shared" si="19"/>
        <v/>
      </c>
      <c r="H474" s="84" t="str">
        <f t="shared" si="20"/>
        <v/>
      </c>
      <c r="I474" s="84" t="str">
        <f t="shared" si="21"/>
        <v/>
      </c>
      <c r="J474" s="84" t="str">
        <f t="shared" si="22"/>
        <v/>
      </c>
      <c r="K474" s="80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spans="1:26" ht="15.75" customHeight="1" x14ac:dyDescent="0.25">
      <c r="A475" s="62"/>
      <c r="B475" s="62"/>
      <c r="C475" s="76"/>
      <c r="D475" s="77"/>
      <c r="E475" s="62"/>
      <c r="F475" s="83" t="str">
        <f t="shared" si="18"/>
        <v/>
      </c>
      <c r="G475" s="84" t="str">
        <f t="shared" si="19"/>
        <v/>
      </c>
      <c r="H475" s="84" t="str">
        <f t="shared" si="20"/>
        <v/>
      </c>
      <c r="I475" s="84" t="str">
        <f t="shared" si="21"/>
        <v/>
      </c>
      <c r="J475" s="84" t="str">
        <f t="shared" si="22"/>
        <v/>
      </c>
      <c r="K475" s="80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spans="1:26" ht="15.75" customHeight="1" x14ac:dyDescent="0.25">
      <c r="A476" s="62"/>
      <c r="B476" s="62"/>
      <c r="C476" s="76"/>
      <c r="D476" s="77"/>
      <c r="E476" s="62"/>
      <c r="F476" s="83" t="str">
        <f t="shared" si="18"/>
        <v/>
      </c>
      <c r="G476" s="84" t="str">
        <f t="shared" si="19"/>
        <v/>
      </c>
      <c r="H476" s="84" t="str">
        <f t="shared" si="20"/>
        <v/>
      </c>
      <c r="I476" s="84" t="str">
        <f t="shared" si="21"/>
        <v/>
      </c>
      <c r="J476" s="84" t="str">
        <f t="shared" si="22"/>
        <v/>
      </c>
      <c r="K476" s="80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spans="1:26" ht="15.75" customHeight="1" x14ac:dyDescent="0.25">
      <c r="A477" s="62"/>
      <c r="B477" s="62"/>
      <c r="C477" s="76"/>
      <c r="D477" s="77"/>
      <c r="E477" s="62"/>
      <c r="F477" s="83" t="str">
        <f t="shared" si="18"/>
        <v/>
      </c>
      <c r="G477" s="84" t="str">
        <f t="shared" si="19"/>
        <v/>
      </c>
      <c r="H477" s="84" t="str">
        <f t="shared" si="20"/>
        <v/>
      </c>
      <c r="I477" s="84" t="str">
        <f t="shared" si="21"/>
        <v/>
      </c>
      <c r="J477" s="84" t="str">
        <f t="shared" si="22"/>
        <v/>
      </c>
      <c r="K477" s="80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spans="1:26" ht="15.75" customHeight="1" x14ac:dyDescent="0.25">
      <c r="A478" s="62"/>
      <c r="B478" s="62"/>
      <c r="C478" s="76"/>
      <c r="D478" s="77"/>
      <c r="E478" s="62"/>
      <c r="F478" s="83" t="str">
        <f t="shared" si="18"/>
        <v/>
      </c>
      <c r="G478" s="84" t="str">
        <f t="shared" si="19"/>
        <v/>
      </c>
      <c r="H478" s="84" t="str">
        <f t="shared" si="20"/>
        <v/>
      </c>
      <c r="I478" s="84" t="str">
        <f t="shared" si="21"/>
        <v/>
      </c>
      <c r="J478" s="84" t="str">
        <f t="shared" si="22"/>
        <v/>
      </c>
      <c r="K478" s="80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spans="1:26" ht="15.75" customHeight="1" x14ac:dyDescent="0.25">
      <c r="A479" s="62"/>
      <c r="B479" s="62"/>
      <c r="C479" s="76"/>
      <c r="D479" s="77"/>
      <c r="E479" s="62"/>
      <c r="F479" s="83" t="str">
        <f t="shared" si="18"/>
        <v/>
      </c>
      <c r="G479" s="84" t="str">
        <f t="shared" si="19"/>
        <v/>
      </c>
      <c r="H479" s="84" t="str">
        <f t="shared" si="20"/>
        <v/>
      </c>
      <c r="I479" s="84" t="str">
        <f t="shared" si="21"/>
        <v/>
      </c>
      <c r="J479" s="84" t="str">
        <f t="shared" si="22"/>
        <v/>
      </c>
      <c r="K479" s="80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spans="1:26" ht="15.75" customHeight="1" x14ac:dyDescent="0.25">
      <c r="A480" s="62"/>
      <c r="B480" s="62"/>
      <c r="C480" s="76"/>
      <c r="D480" s="77"/>
      <c r="E480" s="62"/>
      <c r="F480" s="83" t="str">
        <f t="shared" si="18"/>
        <v/>
      </c>
      <c r="G480" s="84" t="str">
        <f t="shared" si="19"/>
        <v/>
      </c>
      <c r="H480" s="84" t="str">
        <f t="shared" si="20"/>
        <v/>
      </c>
      <c r="I480" s="84" t="str">
        <f t="shared" si="21"/>
        <v/>
      </c>
      <c r="J480" s="84" t="str">
        <f t="shared" si="22"/>
        <v/>
      </c>
      <c r="K480" s="80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spans="1:26" ht="15.75" customHeight="1" x14ac:dyDescent="0.25">
      <c r="A481" s="62"/>
      <c r="B481" s="62"/>
      <c r="C481" s="76"/>
      <c r="D481" s="77"/>
      <c r="E481" s="62"/>
      <c r="F481" s="83" t="str">
        <f t="shared" si="18"/>
        <v/>
      </c>
      <c r="G481" s="84" t="str">
        <f t="shared" si="19"/>
        <v/>
      </c>
      <c r="H481" s="84" t="str">
        <f t="shared" si="20"/>
        <v/>
      </c>
      <c r="I481" s="84" t="str">
        <f t="shared" si="21"/>
        <v/>
      </c>
      <c r="J481" s="84" t="str">
        <f t="shared" si="22"/>
        <v/>
      </c>
      <c r="K481" s="80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spans="1:26" ht="15.75" customHeight="1" x14ac:dyDescent="0.25">
      <c r="A482" s="62"/>
      <c r="B482" s="62"/>
      <c r="C482" s="76"/>
      <c r="D482" s="77"/>
      <c r="E482" s="62"/>
      <c r="F482" s="83" t="str">
        <f t="shared" si="18"/>
        <v/>
      </c>
      <c r="G482" s="84" t="str">
        <f t="shared" si="19"/>
        <v/>
      </c>
      <c r="H482" s="84" t="str">
        <f t="shared" si="20"/>
        <v/>
      </c>
      <c r="I482" s="84" t="str">
        <f t="shared" si="21"/>
        <v/>
      </c>
      <c r="J482" s="84" t="str">
        <f t="shared" si="22"/>
        <v/>
      </c>
      <c r="K482" s="80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spans="1:26" ht="15.75" customHeight="1" x14ac:dyDescent="0.25">
      <c r="A483" s="62"/>
      <c r="B483" s="62"/>
      <c r="C483" s="76"/>
      <c r="D483" s="77"/>
      <c r="E483" s="62"/>
      <c r="F483" s="83" t="str">
        <f t="shared" si="18"/>
        <v/>
      </c>
      <c r="G483" s="84" t="str">
        <f t="shared" si="19"/>
        <v/>
      </c>
      <c r="H483" s="84" t="str">
        <f t="shared" si="20"/>
        <v/>
      </c>
      <c r="I483" s="84" t="str">
        <f t="shared" si="21"/>
        <v/>
      </c>
      <c r="J483" s="84" t="str">
        <f t="shared" si="22"/>
        <v/>
      </c>
      <c r="K483" s="80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spans="1:26" ht="15.75" customHeight="1" x14ac:dyDescent="0.25">
      <c r="A484" s="62"/>
      <c r="B484" s="62"/>
      <c r="C484" s="76"/>
      <c r="D484" s="77"/>
      <c r="E484" s="62"/>
      <c r="F484" s="83" t="str">
        <f t="shared" si="18"/>
        <v/>
      </c>
      <c r="G484" s="84" t="str">
        <f t="shared" si="19"/>
        <v/>
      </c>
      <c r="H484" s="84" t="str">
        <f t="shared" si="20"/>
        <v/>
      </c>
      <c r="I484" s="84" t="str">
        <f t="shared" si="21"/>
        <v/>
      </c>
      <c r="J484" s="84" t="str">
        <f t="shared" si="22"/>
        <v/>
      </c>
      <c r="K484" s="80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spans="1:26" ht="15.75" customHeight="1" x14ac:dyDescent="0.25">
      <c r="A485" s="62"/>
      <c r="B485" s="62"/>
      <c r="C485" s="76"/>
      <c r="D485" s="77"/>
      <c r="E485" s="62"/>
      <c r="F485" s="83" t="str">
        <f t="shared" si="18"/>
        <v/>
      </c>
      <c r="G485" s="84" t="str">
        <f t="shared" si="19"/>
        <v/>
      </c>
      <c r="H485" s="84" t="str">
        <f t="shared" si="20"/>
        <v/>
      </c>
      <c r="I485" s="84" t="str">
        <f t="shared" si="21"/>
        <v/>
      </c>
      <c r="J485" s="84" t="str">
        <f t="shared" si="22"/>
        <v/>
      </c>
      <c r="K485" s="80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spans="1:26" ht="15.75" customHeight="1" x14ac:dyDescent="0.25">
      <c r="A486" s="62"/>
      <c r="B486" s="62"/>
      <c r="C486" s="76"/>
      <c r="D486" s="77"/>
      <c r="E486" s="62"/>
      <c r="F486" s="83" t="str">
        <f t="shared" si="18"/>
        <v/>
      </c>
      <c r="G486" s="84" t="str">
        <f t="shared" si="19"/>
        <v/>
      </c>
      <c r="H486" s="84" t="str">
        <f t="shared" si="20"/>
        <v/>
      </c>
      <c r="I486" s="84" t="str">
        <f t="shared" si="21"/>
        <v/>
      </c>
      <c r="J486" s="84" t="str">
        <f t="shared" si="22"/>
        <v/>
      </c>
      <c r="K486" s="80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spans="1:26" ht="15.75" customHeight="1" x14ac:dyDescent="0.25">
      <c r="A487" s="62"/>
      <c r="B487" s="62"/>
      <c r="C487" s="76"/>
      <c r="D487" s="77"/>
      <c r="E487" s="62"/>
      <c r="F487" s="83" t="str">
        <f t="shared" si="18"/>
        <v/>
      </c>
      <c r="G487" s="84" t="str">
        <f t="shared" si="19"/>
        <v/>
      </c>
      <c r="H487" s="84" t="str">
        <f t="shared" si="20"/>
        <v/>
      </c>
      <c r="I487" s="84" t="str">
        <f t="shared" si="21"/>
        <v/>
      </c>
      <c r="J487" s="84" t="str">
        <f t="shared" si="22"/>
        <v/>
      </c>
      <c r="K487" s="80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spans="1:26" ht="15.75" customHeight="1" x14ac:dyDescent="0.25">
      <c r="A488" s="62"/>
      <c r="B488" s="62"/>
      <c r="C488" s="76"/>
      <c r="D488" s="77"/>
      <c r="E488" s="62"/>
      <c r="F488" s="83" t="str">
        <f t="shared" si="18"/>
        <v/>
      </c>
      <c r="G488" s="84" t="str">
        <f t="shared" si="19"/>
        <v/>
      </c>
      <c r="H488" s="84" t="str">
        <f t="shared" si="20"/>
        <v/>
      </c>
      <c r="I488" s="84" t="str">
        <f t="shared" si="21"/>
        <v/>
      </c>
      <c r="J488" s="84" t="str">
        <f t="shared" si="22"/>
        <v/>
      </c>
      <c r="K488" s="80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spans="1:26" ht="15.75" customHeight="1" x14ac:dyDescent="0.25">
      <c r="A489" s="62"/>
      <c r="B489" s="62"/>
      <c r="C489" s="76"/>
      <c r="D489" s="77"/>
      <c r="E489" s="62"/>
      <c r="F489" s="83" t="str">
        <f t="shared" si="18"/>
        <v/>
      </c>
      <c r="G489" s="84" t="str">
        <f t="shared" si="19"/>
        <v/>
      </c>
      <c r="H489" s="84" t="str">
        <f t="shared" si="20"/>
        <v/>
      </c>
      <c r="I489" s="84" t="str">
        <f t="shared" si="21"/>
        <v/>
      </c>
      <c r="J489" s="84" t="str">
        <f t="shared" si="22"/>
        <v/>
      </c>
      <c r="K489" s="80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spans="1:26" ht="15.75" customHeight="1" x14ac:dyDescent="0.25">
      <c r="A490" s="62"/>
      <c r="B490" s="62"/>
      <c r="C490" s="76"/>
      <c r="D490" s="77"/>
      <c r="E490" s="62"/>
      <c r="F490" s="83" t="str">
        <f t="shared" si="18"/>
        <v/>
      </c>
      <c r="G490" s="84" t="str">
        <f t="shared" si="19"/>
        <v/>
      </c>
      <c r="H490" s="84" t="str">
        <f t="shared" si="20"/>
        <v/>
      </c>
      <c r="I490" s="84" t="str">
        <f t="shared" si="21"/>
        <v/>
      </c>
      <c r="J490" s="84" t="str">
        <f t="shared" si="22"/>
        <v/>
      </c>
      <c r="K490" s="80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spans="1:26" ht="15.75" customHeight="1" x14ac:dyDescent="0.25">
      <c r="A491" s="62"/>
      <c r="B491" s="62"/>
      <c r="C491" s="76"/>
      <c r="D491" s="77"/>
      <c r="E491" s="62"/>
      <c r="F491" s="83" t="str">
        <f t="shared" si="18"/>
        <v/>
      </c>
      <c r="G491" s="84" t="str">
        <f t="shared" si="19"/>
        <v/>
      </c>
      <c r="H491" s="84" t="str">
        <f t="shared" si="20"/>
        <v/>
      </c>
      <c r="I491" s="84" t="str">
        <f t="shared" si="21"/>
        <v/>
      </c>
      <c r="J491" s="84" t="str">
        <f t="shared" si="22"/>
        <v/>
      </c>
      <c r="K491" s="80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spans="1:26" ht="15.75" customHeight="1" x14ac:dyDescent="0.25">
      <c r="A492" s="62"/>
      <c r="B492" s="62"/>
      <c r="C492" s="76"/>
      <c r="D492" s="77"/>
      <c r="E492" s="62"/>
      <c r="F492" s="83" t="str">
        <f t="shared" si="18"/>
        <v/>
      </c>
      <c r="G492" s="84" t="str">
        <f t="shared" si="19"/>
        <v/>
      </c>
      <c r="H492" s="84" t="str">
        <f t="shared" si="20"/>
        <v/>
      </c>
      <c r="I492" s="84" t="str">
        <f t="shared" si="21"/>
        <v/>
      </c>
      <c r="J492" s="84" t="str">
        <f t="shared" si="22"/>
        <v/>
      </c>
      <c r="K492" s="80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spans="1:26" ht="15.75" customHeight="1" x14ac:dyDescent="0.25">
      <c r="A493" s="62"/>
      <c r="B493" s="62"/>
      <c r="C493" s="76"/>
      <c r="D493" s="77"/>
      <c r="E493" s="62"/>
      <c r="F493" s="83" t="str">
        <f t="shared" si="18"/>
        <v/>
      </c>
      <c r="G493" s="84" t="str">
        <f t="shared" si="19"/>
        <v/>
      </c>
      <c r="H493" s="84" t="str">
        <f t="shared" si="20"/>
        <v/>
      </c>
      <c r="I493" s="84" t="str">
        <f t="shared" si="21"/>
        <v/>
      </c>
      <c r="J493" s="84" t="str">
        <f t="shared" si="22"/>
        <v/>
      </c>
      <c r="K493" s="80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spans="1:26" ht="15.75" customHeight="1" x14ac:dyDescent="0.25">
      <c r="A494" s="62"/>
      <c r="B494" s="62"/>
      <c r="C494" s="76"/>
      <c r="D494" s="77"/>
      <c r="E494" s="62"/>
      <c r="F494" s="83" t="str">
        <f t="shared" si="18"/>
        <v/>
      </c>
      <c r="G494" s="84" t="str">
        <f t="shared" si="19"/>
        <v/>
      </c>
      <c r="H494" s="84" t="str">
        <f t="shared" si="20"/>
        <v/>
      </c>
      <c r="I494" s="84" t="str">
        <f t="shared" si="21"/>
        <v/>
      </c>
      <c r="J494" s="84" t="str">
        <f t="shared" si="22"/>
        <v/>
      </c>
      <c r="K494" s="80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spans="1:26" ht="15.75" customHeight="1" x14ac:dyDescent="0.25">
      <c r="A495" s="62"/>
      <c r="B495" s="62"/>
      <c r="C495" s="76"/>
      <c r="D495" s="77"/>
      <c r="E495" s="62"/>
      <c r="F495" s="83" t="str">
        <f t="shared" si="18"/>
        <v/>
      </c>
      <c r="G495" s="84" t="str">
        <f t="shared" si="19"/>
        <v/>
      </c>
      <c r="H495" s="84" t="str">
        <f t="shared" si="20"/>
        <v/>
      </c>
      <c r="I495" s="84" t="str">
        <f t="shared" si="21"/>
        <v/>
      </c>
      <c r="J495" s="84" t="str">
        <f t="shared" si="22"/>
        <v/>
      </c>
      <c r="K495" s="80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spans="1:26" ht="15.75" customHeight="1" x14ac:dyDescent="0.25">
      <c r="A496" s="62"/>
      <c r="B496" s="62"/>
      <c r="C496" s="76"/>
      <c r="D496" s="77"/>
      <c r="E496" s="62"/>
      <c r="F496" s="83" t="str">
        <f t="shared" si="18"/>
        <v/>
      </c>
      <c r="G496" s="84" t="str">
        <f t="shared" si="19"/>
        <v/>
      </c>
      <c r="H496" s="84" t="str">
        <f t="shared" si="20"/>
        <v/>
      </c>
      <c r="I496" s="84" t="str">
        <f t="shared" si="21"/>
        <v/>
      </c>
      <c r="J496" s="84" t="str">
        <f t="shared" si="22"/>
        <v/>
      </c>
      <c r="K496" s="80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spans="1:26" ht="15.75" customHeight="1" x14ac:dyDescent="0.25">
      <c r="A497" s="62"/>
      <c r="B497" s="62"/>
      <c r="C497" s="76"/>
      <c r="D497" s="77"/>
      <c r="E497" s="62"/>
      <c r="F497" s="83" t="str">
        <f t="shared" si="18"/>
        <v/>
      </c>
      <c r="G497" s="84" t="str">
        <f t="shared" si="19"/>
        <v/>
      </c>
      <c r="H497" s="84" t="str">
        <f t="shared" si="20"/>
        <v/>
      </c>
      <c r="I497" s="84" t="str">
        <f t="shared" si="21"/>
        <v/>
      </c>
      <c r="J497" s="84" t="str">
        <f t="shared" si="22"/>
        <v/>
      </c>
      <c r="K497" s="80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spans="1:26" ht="15.75" customHeight="1" x14ac:dyDescent="0.25">
      <c r="A498" s="62"/>
      <c r="B498" s="62"/>
      <c r="C498" s="76"/>
      <c r="D498" s="77"/>
      <c r="E498" s="62"/>
      <c r="F498" s="83" t="str">
        <f t="shared" si="18"/>
        <v/>
      </c>
      <c r="G498" s="84" t="str">
        <f t="shared" si="19"/>
        <v/>
      </c>
      <c r="H498" s="84" t="str">
        <f t="shared" si="20"/>
        <v/>
      </c>
      <c r="I498" s="84" t="str">
        <f t="shared" si="21"/>
        <v/>
      </c>
      <c r="J498" s="84" t="str">
        <f t="shared" si="22"/>
        <v/>
      </c>
      <c r="K498" s="80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spans="1:26" ht="15.75" customHeight="1" x14ac:dyDescent="0.25">
      <c r="A499" s="62"/>
      <c r="B499" s="62"/>
      <c r="C499" s="76"/>
      <c r="D499" s="77"/>
      <c r="E499" s="62"/>
      <c r="F499" s="83" t="str">
        <f t="shared" si="18"/>
        <v/>
      </c>
      <c r="G499" s="84" t="str">
        <f t="shared" si="19"/>
        <v/>
      </c>
      <c r="H499" s="84" t="str">
        <f t="shared" si="20"/>
        <v/>
      </c>
      <c r="I499" s="84" t="str">
        <f t="shared" si="21"/>
        <v/>
      </c>
      <c r="J499" s="84" t="str">
        <f t="shared" si="22"/>
        <v/>
      </c>
      <c r="K499" s="80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spans="1:26" ht="15.75" customHeight="1" x14ac:dyDescent="0.25">
      <c r="A500" s="62"/>
      <c r="B500" s="62"/>
      <c r="C500" s="76"/>
      <c r="D500" s="77"/>
      <c r="E500" s="62"/>
      <c r="F500" s="83" t="str">
        <f t="shared" si="18"/>
        <v/>
      </c>
      <c r="G500" s="84" t="str">
        <f t="shared" si="19"/>
        <v/>
      </c>
      <c r="H500" s="84" t="str">
        <f t="shared" si="20"/>
        <v/>
      </c>
      <c r="I500" s="84" t="str">
        <f t="shared" si="21"/>
        <v/>
      </c>
      <c r="J500" s="84" t="str">
        <f t="shared" si="22"/>
        <v/>
      </c>
      <c r="K500" s="80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spans="1:26" ht="15.75" customHeight="1" x14ac:dyDescent="0.25">
      <c r="A501" s="62"/>
      <c r="B501" s="62"/>
      <c r="C501" s="76"/>
      <c r="D501" s="77"/>
      <c r="E501" s="62"/>
      <c r="F501" s="83" t="str">
        <f t="shared" si="18"/>
        <v/>
      </c>
      <c r="G501" s="84" t="str">
        <f t="shared" si="19"/>
        <v/>
      </c>
      <c r="H501" s="84" t="str">
        <f t="shared" si="20"/>
        <v/>
      </c>
      <c r="I501" s="84" t="str">
        <f t="shared" si="21"/>
        <v/>
      </c>
      <c r="J501" s="84" t="str">
        <f t="shared" si="22"/>
        <v/>
      </c>
      <c r="K501" s="80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spans="1:26" ht="15.75" customHeight="1" x14ac:dyDescent="0.25">
      <c r="A502" s="62"/>
      <c r="B502" s="62"/>
      <c r="C502" s="76"/>
      <c r="D502" s="77"/>
      <c r="E502" s="62"/>
      <c r="F502" s="83" t="str">
        <f t="shared" si="18"/>
        <v/>
      </c>
      <c r="G502" s="84" t="str">
        <f t="shared" si="19"/>
        <v/>
      </c>
      <c r="H502" s="84" t="str">
        <f t="shared" si="20"/>
        <v/>
      </c>
      <c r="I502" s="84" t="str">
        <f t="shared" si="21"/>
        <v/>
      </c>
      <c r="J502" s="84" t="str">
        <f t="shared" si="22"/>
        <v/>
      </c>
      <c r="K502" s="80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spans="1:26" ht="15.75" customHeight="1" x14ac:dyDescent="0.25">
      <c r="A503" s="62"/>
      <c r="B503" s="62"/>
      <c r="C503" s="76"/>
      <c r="D503" s="77"/>
      <c r="E503" s="62"/>
      <c r="F503" s="83" t="str">
        <f t="shared" si="18"/>
        <v/>
      </c>
      <c r="G503" s="84" t="str">
        <f t="shared" si="19"/>
        <v/>
      </c>
      <c r="H503" s="84" t="str">
        <f t="shared" si="20"/>
        <v/>
      </c>
      <c r="I503" s="84" t="str">
        <f t="shared" si="21"/>
        <v/>
      </c>
      <c r="J503" s="84" t="str">
        <f t="shared" si="22"/>
        <v/>
      </c>
      <c r="K503" s="80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spans="1:26" ht="15.75" customHeight="1" x14ac:dyDescent="0.25">
      <c r="A504" s="62"/>
      <c r="B504" s="62"/>
      <c r="C504" s="76"/>
      <c r="D504" s="77"/>
      <c r="E504" s="62"/>
      <c r="F504" s="83" t="str">
        <f t="shared" si="18"/>
        <v/>
      </c>
      <c r="G504" s="84" t="str">
        <f t="shared" si="19"/>
        <v/>
      </c>
      <c r="H504" s="84" t="str">
        <f t="shared" si="20"/>
        <v/>
      </c>
      <c r="I504" s="84" t="str">
        <f t="shared" si="21"/>
        <v/>
      </c>
      <c r="J504" s="84" t="str">
        <f t="shared" si="22"/>
        <v/>
      </c>
      <c r="K504" s="80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spans="1:26" ht="15.75" customHeight="1" x14ac:dyDescent="0.25">
      <c r="A505" s="62"/>
      <c r="B505" s="62"/>
      <c r="C505" s="76"/>
      <c r="D505" s="77"/>
      <c r="E505" s="62"/>
      <c r="F505" s="83" t="str">
        <f t="shared" si="18"/>
        <v/>
      </c>
      <c r="G505" s="84" t="str">
        <f t="shared" si="19"/>
        <v/>
      </c>
      <c r="H505" s="84" t="str">
        <f t="shared" si="20"/>
        <v/>
      </c>
      <c r="I505" s="84" t="str">
        <f t="shared" si="21"/>
        <v/>
      </c>
      <c r="J505" s="84" t="str">
        <f t="shared" si="22"/>
        <v/>
      </c>
      <c r="K505" s="80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spans="1:26" ht="15.75" customHeight="1" x14ac:dyDescent="0.25">
      <c r="A506" s="62"/>
      <c r="B506" s="62"/>
      <c r="C506" s="76"/>
      <c r="D506" s="77"/>
      <c r="E506" s="62"/>
      <c r="F506" s="83" t="str">
        <f t="shared" si="18"/>
        <v/>
      </c>
      <c r="G506" s="84" t="str">
        <f t="shared" si="19"/>
        <v/>
      </c>
      <c r="H506" s="84" t="str">
        <f t="shared" si="20"/>
        <v/>
      </c>
      <c r="I506" s="84" t="str">
        <f t="shared" si="21"/>
        <v/>
      </c>
      <c r="J506" s="84" t="str">
        <f t="shared" si="22"/>
        <v/>
      </c>
      <c r="K506" s="80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spans="1:26" ht="15.75" customHeight="1" x14ac:dyDescent="0.25">
      <c r="A507" s="62"/>
      <c r="B507" s="62"/>
      <c r="C507" s="76"/>
      <c r="D507" s="77"/>
      <c r="E507" s="62"/>
      <c r="F507" s="83" t="str">
        <f t="shared" si="18"/>
        <v/>
      </c>
      <c r="G507" s="84" t="str">
        <f t="shared" si="19"/>
        <v/>
      </c>
      <c r="H507" s="84" t="str">
        <f t="shared" si="20"/>
        <v/>
      </c>
      <c r="I507" s="84" t="str">
        <f t="shared" si="21"/>
        <v/>
      </c>
      <c r="J507" s="84" t="str">
        <f t="shared" si="22"/>
        <v/>
      </c>
      <c r="K507" s="80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spans="1:26" ht="15.75" customHeight="1" x14ac:dyDescent="0.25">
      <c r="A508" s="62"/>
      <c r="B508" s="62"/>
      <c r="C508" s="76"/>
      <c r="D508" s="77"/>
      <c r="E508" s="62"/>
      <c r="F508" s="83" t="str">
        <f t="shared" si="18"/>
        <v/>
      </c>
      <c r="G508" s="84" t="str">
        <f t="shared" si="19"/>
        <v/>
      </c>
      <c r="H508" s="84" t="str">
        <f t="shared" si="20"/>
        <v/>
      </c>
      <c r="I508" s="84" t="str">
        <f t="shared" si="21"/>
        <v/>
      </c>
      <c r="J508" s="84" t="str">
        <f t="shared" si="22"/>
        <v/>
      </c>
      <c r="K508" s="80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spans="1:26" ht="15.75" customHeight="1" x14ac:dyDescent="0.25">
      <c r="A509" s="62"/>
      <c r="B509" s="62"/>
      <c r="C509" s="76"/>
      <c r="D509" s="77"/>
      <c r="E509" s="62"/>
      <c r="F509" s="83" t="str">
        <f t="shared" si="18"/>
        <v/>
      </c>
      <c r="G509" s="84" t="str">
        <f t="shared" si="19"/>
        <v/>
      </c>
      <c r="H509" s="84" t="str">
        <f t="shared" si="20"/>
        <v/>
      </c>
      <c r="I509" s="84" t="str">
        <f t="shared" si="21"/>
        <v/>
      </c>
      <c r="J509" s="84" t="str">
        <f t="shared" si="22"/>
        <v/>
      </c>
      <c r="K509" s="80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spans="1:26" ht="15.75" customHeight="1" x14ac:dyDescent="0.25">
      <c r="A510" s="62"/>
      <c r="B510" s="62"/>
      <c r="C510" s="76"/>
      <c r="D510" s="77"/>
      <c r="E510" s="62"/>
      <c r="F510" s="83" t="str">
        <f t="shared" si="18"/>
        <v/>
      </c>
      <c r="G510" s="84" t="str">
        <f t="shared" si="19"/>
        <v/>
      </c>
      <c r="H510" s="84" t="str">
        <f t="shared" si="20"/>
        <v/>
      </c>
      <c r="I510" s="84" t="str">
        <f t="shared" si="21"/>
        <v/>
      </c>
      <c r="J510" s="84" t="str">
        <f t="shared" si="22"/>
        <v/>
      </c>
      <c r="K510" s="80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spans="1:26" ht="15.75" customHeight="1" x14ac:dyDescent="0.25">
      <c r="A511" s="62"/>
      <c r="B511" s="62"/>
      <c r="C511" s="76"/>
      <c r="D511" s="77"/>
      <c r="E511" s="62"/>
      <c r="F511" s="83" t="str">
        <f t="shared" si="18"/>
        <v/>
      </c>
      <c r="G511" s="84" t="str">
        <f t="shared" si="19"/>
        <v/>
      </c>
      <c r="H511" s="84" t="str">
        <f t="shared" si="20"/>
        <v/>
      </c>
      <c r="I511" s="84" t="str">
        <f t="shared" si="21"/>
        <v/>
      </c>
      <c r="J511" s="84" t="str">
        <f t="shared" si="22"/>
        <v/>
      </c>
      <c r="K511" s="80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spans="1:26" ht="15.75" customHeight="1" x14ac:dyDescent="0.25">
      <c r="A512" s="62"/>
      <c r="B512" s="62"/>
      <c r="C512" s="76"/>
      <c r="D512" s="77"/>
      <c r="E512" s="62"/>
      <c r="F512" s="83" t="str">
        <f t="shared" si="18"/>
        <v/>
      </c>
      <c r="G512" s="84" t="str">
        <f t="shared" si="19"/>
        <v/>
      </c>
      <c r="H512" s="84" t="str">
        <f t="shared" si="20"/>
        <v/>
      </c>
      <c r="I512" s="84" t="str">
        <f t="shared" si="21"/>
        <v/>
      </c>
      <c r="J512" s="84" t="str">
        <f t="shared" si="22"/>
        <v/>
      </c>
      <c r="K512" s="80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spans="1:26" ht="15.75" customHeight="1" x14ac:dyDescent="0.25">
      <c r="A513" s="62"/>
      <c r="B513" s="62"/>
      <c r="C513" s="76"/>
      <c r="D513" s="77"/>
      <c r="E513" s="62"/>
      <c r="F513" s="83" t="str">
        <f t="shared" si="18"/>
        <v/>
      </c>
      <c r="G513" s="84" t="str">
        <f t="shared" si="19"/>
        <v/>
      </c>
      <c r="H513" s="84" t="str">
        <f t="shared" si="20"/>
        <v/>
      </c>
      <c r="I513" s="84" t="str">
        <f t="shared" si="21"/>
        <v/>
      </c>
      <c r="J513" s="84" t="str">
        <f t="shared" si="22"/>
        <v/>
      </c>
      <c r="K513" s="80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spans="1:26" ht="15.75" customHeight="1" x14ac:dyDescent="0.25">
      <c r="A514" s="62"/>
      <c r="B514" s="62"/>
      <c r="C514" s="76"/>
      <c r="D514" s="77"/>
      <c r="E514" s="62"/>
      <c r="F514" s="83" t="str">
        <f t="shared" ref="F514:F632" si="23">IF(F513&lt;&gt;"",IF(J513&gt;1,F513+1,""),"")</f>
        <v/>
      </c>
      <c r="G514" s="84" t="str">
        <f t="shared" ref="G514:G632" si="24">IF(F514&lt;&gt;"",IF(J513&gt;$C$15,$C$15,J513+H514),"")</f>
        <v/>
      </c>
      <c r="H514" s="84" t="str">
        <f t="shared" ref="H514:H632" si="25">IF(F514&lt;&gt;"",J513*$C$4%/$C$7+$C$8,"")</f>
        <v/>
      </c>
      <c r="I514" s="84" t="str">
        <f t="shared" ref="I514:I632" si="26">IF(F514&lt;&gt;"",IF(F514&gt;$C$6*$C$7,G514-H514,0),"")</f>
        <v/>
      </c>
      <c r="J514" s="84" t="str">
        <f t="shared" ref="J514:J632" si="27">IF(F514&lt;&gt;"",J513-I514-K514,"")</f>
        <v/>
      </c>
      <c r="K514" s="80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spans="1:26" ht="15.75" customHeight="1" x14ac:dyDescent="0.25">
      <c r="A515" s="62"/>
      <c r="B515" s="62"/>
      <c r="C515" s="76"/>
      <c r="D515" s="77"/>
      <c r="E515" s="62"/>
      <c r="F515" s="83" t="str">
        <f t="shared" si="23"/>
        <v/>
      </c>
      <c r="G515" s="84" t="str">
        <f t="shared" si="24"/>
        <v/>
      </c>
      <c r="H515" s="84" t="str">
        <f t="shared" si="25"/>
        <v/>
      </c>
      <c r="I515" s="84" t="str">
        <f t="shared" si="26"/>
        <v/>
      </c>
      <c r="J515" s="84" t="str">
        <f t="shared" si="27"/>
        <v/>
      </c>
      <c r="K515" s="80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spans="1:26" ht="15.75" customHeight="1" x14ac:dyDescent="0.25">
      <c r="A516" s="62"/>
      <c r="B516" s="62"/>
      <c r="C516" s="76"/>
      <c r="D516" s="77"/>
      <c r="E516" s="62"/>
      <c r="F516" s="83" t="str">
        <f t="shared" si="23"/>
        <v/>
      </c>
      <c r="G516" s="84" t="str">
        <f t="shared" si="24"/>
        <v/>
      </c>
      <c r="H516" s="84" t="str">
        <f t="shared" si="25"/>
        <v/>
      </c>
      <c r="I516" s="84" t="str">
        <f t="shared" si="26"/>
        <v/>
      </c>
      <c r="J516" s="84" t="str">
        <f t="shared" si="27"/>
        <v/>
      </c>
      <c r="K516" s="80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spans="1:26" ht="15.75" customHeight="1" x14ac:dyDescent="0.25">
      <c r="A517" s="62"/>
      <c r="B517" s="62"/>
      <c r="C517" s="76"/>
      <c r="D517" s="77"/>
      <c r="E517" s="62"/>
      <c r="F517" s="83" t="str">
        <f t="shared" si="23"/>
        <v/>
      </c>
      <c r="G517" s="84" t="str">
        <f t="shared" si="24"/>
        <v/>
      </c>
      <c r="H517" s="84" t="str">
        <f t="shared" si="25"/>
        <v/>
      </c>
      <c r="I517" s="84" t="str">
        <f t="shared" si="26"/>
        <v/>
      </c>
      <c r="J517" s="84" t="str">
        <f t="shared" si="27"/>
        <v/>
      </c>
      <c r="K517" s="80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spans="1:26" ht="15.75" customHeight="1" x14ac:dyDescent="0.25">
      <c r="A518" s="62"/>
      <c r="B518" s="62"/>
      <c r="C518" s="76"/>
      <c r="D518" s="77"/>
      <c r="E518" s="62"/>
      <c r="F518" s="83" t="str">
        <f t="shared" si="23"/>
        <v/>
      </c>
      <c r="G518" s="84" t="str">
        <f t="shared" si="24"/>
        <v/>
      </c>
      <c r="H518" s="84" t="str">
        <f t="shared" si="25"/>
        <v/>
      </c>
      <c r="I518" s="84" t="str">
        <f t="shared" si="26"/>
        <v/>
      </c>
      <c r="J518" s="84" t="str">
        <f t="shared" si="27"/>
        <v/>
      </c>
      <c r="K518" s="80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spans="1:26" ht="15.75" customHeight="1" x14ac:dyDescent="0.25">
      <c r="A519" s="62"/>
      <c r="B519" s="62"/>
      <c r="C519" s="76"/>
      <c r="D519" s="77"/>
      <c r="E519" s="62"/>
      <c r="F519" s="83" t="str">
        <f t="shared" si="23"/>
        <v/>
      </c>
      <c r="G519" s="84" t="str">
        <f t="shared" si="24"/>
        <v/>
      </c>
      <c r="H519" s="84" t="str">
        <f t="shared" si="25"/>
        <v/>
      </c>
      <c r="I519" s="84" t="str">
        <f t="shared" si="26"/>
        <v/>
      </c>
      <c r="J519" s="84" t="str">
        <f t="shared" si="27"/>
        <v/>
      </c>
      <c r="K519" s="80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spans="1:26" ht="15.75" customHeight="1" x14ac:dyDescent="0.25">
      <c r="A520" s="62"/>
      <c r="B520" s="62"/>
      <c r="C520" s="76"/>
      <c r="D520" s="77"/>
      <c r="E520" s="62"/>
      <c r="F520" s="83" t="str">
        <f t="shared" si="23"/>
        <v/>
      </c>
      <c r="G520" s="84" t="str">
        <f t="shared" si="24"/>
        <v/>
      </c>
      <c r="H520" s="84" t="str">
        <f t="shared" si="25"/>
        <v/>
      </c>
      <c r="I520" s="84" t="str">
        <f t="shared" si="26"/>
        <v/>
      </c>
      <c r="J520" s="84" t="str">
        <f t="shared" si="27"/>
        <v/>
      </c>
      <c r="K520" s="80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spans="1:26" ht="15.75" customHeight="1" x14ac:dyDescent="0.25">
      <c r="A521" s="62"/>
      <c r="B521" s="62"/>
      <c r="C521" s="76"/>
      <c r="D521" s="77"/>
      <c r="E521" s="62"/>
      <c r="F521" s="83" t="str">
        <f t="shared" si="23"/>
        <v/>
      </c>
      <c r="G521" s="84" t="str">
        <f t="shared" si="24"/>
        <v/>
      </c>
      <c r="H521" s="84" t="str">
        <f t="shared" si="25"/>
        <v/>
      </c>
      <c r="I521" s="84" t="str">
        <f t="shared" si="26"/>
        <v/>
      </c>
      <c r="J521" s="84" t="str">
        <f t="shared" si="27"/>
        <v/>
      </c>
      <c r="K521" s="80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spans="1:26" ht="15.75" customHeight="1" x14ac:dyDescent="0.25">
      <c r="A522" s="62"/>
      <c r="B522" s="62"/>
      <c r="C522" s="76"/>
      <c r="D522" s="77"/>
      <c r="E522" s="62"/>
      <c r="F522" s="83" t="str">
        <f t="shared" si="23"/>
        <v/>
      </c>
      <c r="G522" s="84" t="str">
        <f t="shared" si="24"/>
        <v/>
      </c>
      <c r="H522" s="84" t="str">
        <f t="shared" si="25"/>
        <v/>
      </c>
      <c r="I522" s="84" t="str">
        <f t="shared" si="26"/>
        <v/>
      </c>
      <c r="J522" s="84" t="str">
        <f t="shared" si="27"/>
        <v/>
      </c>
      <c r="K522" s="80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spans="1:26" ht="15.75" customHeight="1" x14ac:dyDescent="0.25">
      <c r="A523" s="62"/>
      <c r="B523" s="62"/>
      <c r="C523" s="76"/>
      <c r="D523" s="77"/>
      <c r="E523" s="62"/>
      <c r="F523" s="83" t="str">
        <f t="shared" si="23"/>
        <v/>
      </c>
      <c r="G523" s="84" t="str">
        <f t="shared" si="24"/>
        <v/>
      </c>
      <c r="H523" s="84" t="str">
        <f t="shared" si="25"/>
        <v/>
      </c>
      <c r="I523" s="84" t="str">
        <f t="shared" si="26"/>
        <v/>
      </c>
      <c r="J523" s="84" t="str">
        <f t="shared" si="27"/>
        <v/>
      </c>
      <c r="K523" s="80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spans="1:26" ht="15.75" customHeight="1" x14ac:dyDescent="0.25">
      <c r="A524" s="62"/>
      <c r="B524" s="62"/>
      <c r="C524" s="76"/>
      <c r="D524" s="77"/>
      <c r="E524" s="62"/>
      <c r="F524" s="83" t="str">
        <f t="shared" si="23"/>
        <v/>
      </c>
      <c r="G524" s="84" t="str">
        <f t="shared" si="24"/>
        <v/>
      </c>
      <c r="H524" s="84" t="str">
        <f t="shared" si="25"/>
        <v/>
      </c>
      <c r="I524" s="84" t="str">
        <f t="shared" si="26"/>
        <v/>
      </c>
      <c r="J524" s="84" t="str">
        <f t="shared" si="27"/>
        <v/>
      </c>
      <c r="K524" s="80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spans="1:26" ht="15.75" customHeight="1" x14ac:dyDescent="0.25">
      <c r="A525" s="62"/>
      <c r="B525" s="62"/>
      <c r="C525" s="76"/>
      <c r="D525" s="77"/>
      <c r="E525" s="62"/>
      <c r="F525" s="83" t="str">
        <f t="shared" si="23"/>
        <v/>
      </c>
      <c r="G525" s="84" t="str">
        <f t="shared" si="24"/>
        <v/>
      </c>
      <c r="H525" s="84" t="str">
        <f t="shared" si="25"/>
        <v/>
      </c>
      <c r="I525" s="84" t="str">
        <f t="shared" si="26"/>
        <v/>
      </c>
      <c r="J525" s="84" t="str">
        <f t="shared" si="27"/>
        <v/>
      </c>
      <c r="K525" s="80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spans="1:26" ht="15.75" customHeight="1" x14ac:dyDescent="0.25">
      <c r="A526" s="62"/>
      <c r="B526" s="62"/>
      <c r="C526" s="76"/>
      <c r="D526" s="77"/>
      <c r="E526" s="62"/>
      <c r="F526" s="83" t="str">
        <f t="shared" si="23"/>
        <v/>
      </c>
      <c r="G526" s="84" t="str">
        <f t="shared" si="24"/>
        <v/>
      </c>
      <c r="H526" s="84" t="str">
        <f t="shared" si="25"/>
        <v/>
      </c>
      <c r="I526" s="84" t="str">
        <f t="shared" si="26"/>
        <v/>
      </c>
      <c r="J526" s="84" t="str">
        <f t="shared" si="27"/>
        <v/>
      </c>
      <c r="K526" s="80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spans="1:26" ht="15.75" customHeight="1" x14ac:dyDescent="0.25">
      <c r="A527" s="62"/>
      <c r="B527" s="62"/>
      <c r="C527" s="76"/>
      <c r="D527" s="77"/>
      <c r="E527" s="62"/>
      <c r="F527" s="83" t="str">
        <f t="shared" si="23"/>
        <v/>
      </c>
      <c r="G527" s="84" t="str">
        <f t="shared" si="24"/>
        <v/>
      </c>
      <c r="H527" s="84" t="str">
        <f t="shared" si="25"/>
        <v/>
      </c>
      <c r="I527" s="84" t="str">
        <f t="shared" si="26"/>
        <v/>
      </c>
      <c r="J527" s="84" t="str">
        <f t="shared" si="27"/>
        <v/>
      </c>
      <c r="K527" s="80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spans="1:26" ht="15.75" customHeight="1" x14ac:dyDescent="0.25">
      <c r="A528" s="62"/>
      <c r="B528" s="62"/>
      <c r="C528" s="76"/>
      <c r="D528" s="77"/>
      <c r="E528" s="62"/>
      <c r="F528" s="83" t="str">
        <f t="shared" si="23"/>
        <v/>
      </c>
      <c r="G528" s="84" t="str">
        <f t="shared" si="24"/>
        <v/>
      </c>
      <c r="H528" s="84" t="str">
        <f t="shared" si="25"/>
        <v/>
      </c>
      <c r="I528" s="84" t="str">
        <f t="shared" si="26"/>
        <v/>
      </c>
      <c r="J528" s="84" t="str">
        <f t="shared" si="27"/>
        <v/>
      </c>
      <c r="K528" s="80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spans="1:26" ht="15.75" customHeight="1" x14ac:dyDescent="0.25">
      <c r="A529" s="62"/>
      <c r="B529" s="62"/>
      <c r="C529" s="76"/>
      <c r="D529" s="77"/>
      <c r="E529" s="62"/>
      <c r="F529" s="83" t="str">
        <f t="shared" si="23"/>
        <v/>
      </c>
      <c r="G529" s="84" t="str">
        <f t="shared" si="24"/>
        <v/>
      </c>
      <c r="H529" s="84" t="str">
        <f t="shared" si="25"/>
        <v/>
      </c>
      <c r="I529" s="84" t="str">
        <f t="shared" si="26"/>
        <v/>
      </c>
      <c r="J529" s="84" t="str">
        <f t="shared" si="27"/>
        <v/>
      </c>
      <c r="K529" s="80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spans="1:26" ht="15.75" customHeight="1" x14ac:dyDescent="0.25">
      <c r="A530" s="62"/>
      <c r="B530" s="62"/>
      <c r="C530" s="76"/>
      <c r="D530" s="77"/>
      <c r="E530" s="62"/>
      <c r="F530" s="83" t="str">
        <f t="shared" si="23"/>
        <v/>
      </c>
      <c r="G530" s="84" t="str">
        <f t="shared" si="24"/>
        <v/>
      </c>
      <c r="H530" s="84" t="str">
        <f t="shared" si="25"/>
        <v/>
      </c>
      <c r="I530" s="84" t="str">
        <f t="shared" si="26"/>
        <v/>
      </c>
      <c r="J530" s="84" t="str">
        <f t="shared" si="27"/>
        <v/>
      </c>
      <c r="K530" s="80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spans="1:26" ht="15.75" customHeight="1" x14ac:dyDescent="0.25">
      <c r="A531" s="62"/>
      <c r="B531" s="62"/>
      <c r="C531" s="76"/>
      <c r="D531" s="77"/>
      <c r="E531" s="62"/>
      <c r="F531" s="83" t="str">
        <f t="shared" si="23"/>
        <v/>
      </c>
      <c r="G531" s="84" t="str">
        <f t="shared" si="24"/>
        <v/>
      </c>
      <c r="H531" s="84" t="str">
        <f t="shared" si="25"/>
        <v/>
      </c>
      <c r="I531" s="84" t="str">
        <f t="shared" si="26"/>
        <v/>
      </c>
      <c r="J531" s="84" t="str">
        <f t="shared" si="27"/>
        <v/>
      </c>
      <c r="K531" s="80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spans="1:26" ht="15.75" customHeight="1" x14ac:dyDescent="0.25">
      <c r="A532" s="62"/>
      <c r="B532" s="62"/>
      <c r="C532" s="76"/>
      <c r="D532" s="77"/>
      <c r="E532" s="62"/>
      <c r="F532" s="83" t="str">
        <f t="shared" si="23"/>
        <v/>
      </c>
      <c r="G532" s="84" t="str">
        <f t="shared" si="24"/>
        <v/>
      </c>
      <c r="H532" s="84" t="str">
        <f t="shared" si="25"/>
        <v/>
      </c>
      <c r="I532" s="84" t="str">
        <f t="shared" si="26"/>
        <v/>
      </c>
      <c r="J532" s="84" t="str">
        <f t="shared" si="27"/>
        <v/>
      </c>
      <c r="K532" s="80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spans="1:26" ht="15.75" customHeight="1" x14ac:dyDescent="0.25">
      <c r="A533" s="62"/>
      <c r="B533" s="62"/>
      <c r="C533" s="76"/>
      <c r="D533" s="77"/>
      <c r="E533" s="62"/>
      <c r="F533" s="83" t="str">
        <f t="shared" si="23"/>
        <v/>
      </c>
      <c r="G533" s="84" t="str">
        <f t="shared" si="24"/>
        <v/>
      </c>
      <c r="H533" s="84" t="str">
        <f t="shared" si="25"/>
        <v/>
      </c>
      <c r="I533" s="84" t="str">
        <f t="shared" si="26"/>
        <v/>
      </c>
      <c r="J533" s="84" t="str">
        <f t="shared" si="27"/>
        <v/>
      </c>
      <c r="K533" s="80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spans="1:26" ht="15.75" customHeight="1" x14ac:dyDescent="0.25">
      <c r="A534" s="62"/>
      <c r="B534" s="62"/>
      <c r="C534" s="76"/>
      <c r="D534" s="77"/>
      <c r="E534" s="62"/>
      <c r="F534" s="83" t="str">
        <f t="shared" si="23"/>
        <v/>
      </c>
      <c r="G534" s="84" t="str">
        <f t="shared" si="24"/>
        <v/>
      </c>
      <c r="H534" s="84" t="str">
        <f t="shared" si="25"/>
        <v/>
      </c>
      <c r="I534" s="84" t="str">
        <f t="shared" si="26"/>
        <v/>
      </c>
      <c r="J534" s="84" t="str">
        <f t="shared" si="27"/>
        <v/>
      </c>
      <c r="K534" s="80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spans="1:26" ht="15.75" customHeight="1" x14ac:dyDescent="0.25">
      <c r="A535" s="62"/>
      <c r="B535" s="62"/>
      <c r="C535" s="76"/>
      <c r="D535" s="77"/>
      <c r="E535" s="62"/>
      <c r="F535" s="83" t="str">
        <f t="shared" si="23"/>
        <v/>
      </c>
      <c r="G535" s="84" t="str">
        <f t="shared" si="24"/>
        <v/>
      </c>
      <c r="H535" s="84" t="str">
        <f t="shared" si="25"/>
        <v/>
      </c>
      <c r="I535" s="84" t="str">
        <f t="shared" si="26"/>
        <v/>
      </c>
      <c r="J535" s="84" t="str">
        <f t="shared" si="27"/>
        <v/>
      </c>
      <c r="K535" s="80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spans="1:26" ht="15.75" customHeight="1" x14ac:dyDescent="0.25">
      <c r="A536" s="62"/>
      <c r="B536" s="62"/>
      <c r="C536" s="76"/>
      <c r="D536" s="77"/>
      <c r="E536" s="62"/>
      <c r="F536" s="83" t="str">
        <f t="shared" si="23"/>
        <v/>
      </c>
      <c r="G536" s="84" t="str">
        <f t="shared" si="24"/>
        <v/>
      </c>
      <c r="H536" s="84" t="str">
        <f t="shared" si="25"/>
        <v/>
      </c>
      <c r="I536" s="84" t="str">
        <f t="shared" si="26"/>
        <v/>
      </c>
      <c r="J536" s="84" t="str">
        <f t="shared" si="27"/>
        <v/>
      </c>
      <c r="K536" s="80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spans="1:26" ht="15.75" customHeight="1" x14ac:dyDescent="0.25">
      <c r="A537" s="62"/>
      <c r="B537" s="62"/>
      <c r="C537" s="76"/>
      <c r="D537" s="77"/>
      <c r="E537" s="62"/>
      <c r="F537" s="83" t="str">
        <f t="shared" si="23"/>
        <v/>
      </c>
      <c r="G537" s="84" t="str">
        <f t="shared" si="24"/>
        <v/>
      </c>
      <c r="H537" s="84" t="str">
        <f t="shared" si="25"/>
        <v/>
      </c>
      <c r="I537" s="84" t="str">
        <f t="shared" si="26"/>
        <v/>
      </c>
      <c r="J537" s="84" t="str">
        <f t="shared" si="27"/>
        <v/>
      </c>
      <c r="K537" s="80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spans="1:26" ht="15.75" customHeight="1" x14ac:dyDescent="0.25">
      <c r="A538" s="62"/>
      <c r="B538" s="62"/>
      <c r="C538" s="76"/>
      <c r="D538" s="77"/>
      <c r="E538" s="62"/>
      <c r="F538" s="83" t="str">
        <f t="shared" si="23"/>
        <v/>
      </c>
      <c r="G538" s="84" t="str">
        <f t="shared" si="24"/>
        <v/>
      </c>
      <c r="H538" s="84" t="str">
        <f t="shared" si="25"/>
        <v/>
      </c>
      <c r="I538" s="84" t="str">
        <f t="shared" si="26"/>
        <v/>
      </c>
      <c r="J538" s="84" t="str">
        <f t="shared" si="27"/>
        <v/>
      </c>
      <c r="K538" s="80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spans="1:26" ht="15.75" customHeight="1" x14ac:dyDescent="0.25">
      <c r="A539" s="62"/>
      <c r="B539" s="62"/>
      <c r="C539" s="76"/>
      <c r="D539" s="77"/>
      <c r="E539" s="62"/>
      <c r="F539" s="83" t="str">
        <f t="shared" si="23"/>
        <v/>
      </c>
      <c r="G539" s="84" t="str">
        <f t="shared" si="24"/>
        <v/>
      </c>
      <c r="H539" s="84" t="str">
        <f t="shared" si="25"/>
        <v/>
      </c>
      <c r="I539" s="84" t="str">
        <f t="shared" si="26"/>
        <v/>
      </c>
      <c r="J539" s="84" t="str">
        <f t="shared" si="27"/>
        <v/>
      </c>
      <c r="K539" s="80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spans="1:26" ht="15.75" customHeight="1" x14ac:dyDescent="0.25">
      <c r="A540" s="62"/>
      <c r="B540" s="62"/>
      <c r="C540" s="76"/>
      <c r="D540" s="77"/>
      <c r="E540" s="62"/>
      <c r="F540" s="83" t="str">
        <f t="shared" si="23"/>
        <v/>
      </c>
      <c r="G540" s="84" t="str">
        <f t="shared" si="24"/>
        <v/>
      </c>
      <c r="H540" s="84" t="str">
        <f t="shared" si="25"/>
        <v/>
      </c>
      <c r="I540" s="84" t="str">
        <f t="shared" si="26"/>
        <v/>
      </c>
      <c r="J540" s="84" t="str">
        <f t="shared" si="27"/>
        <v/>
      </c>
      <c r="K540" s="80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spans="1:26" ht="15.75" customHeight="1" x14ac:dyDescent="0.25">
      <c r="A541" s="62"/>
      <c r="B541" s="62"/>
      <c r="C541" s="76"/>
      <c r="D541" s="77"/>
      <c r="E541" s="62"/>
      <c r="F541" s="83" t="str">
        <f t="shared" si="23"/>
        <v/>
      </c>
      <c r="G541" s="84" t="str">
        <f t="shared" si="24"/>
        <v/>
      </c>
      <c r="H541" s="84" t="str">
        <f t="shared" si="25"/>
        <v/>
      </c>
      <c r="I541" s="84" t="str">
        <f t="shared" si="26"/>
        <v/>
      </c>
      <c r="J541" s="84" t="str">
        <f t="shared" si="27"/>
        <v/>
      </c>
      <c r="K541" s="80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spans="1:26" ht="15.75" customHeight="1" x14ac:dyDescent="0.25">
      <c r="A542" s="62"/>
      <c r="B542" s="62"/>
      <c r="C542" s="76"/>
      <c r="D542" s="77"/>
      <c r="E542" s="62"/>
      <c r="F542" s="83" t="str">
        <f t="shared" si="23"/>
        <v/>
      </c>
      <c r="G542" s="84" t="str">
        <f t="shared" si="24"/>
        <v/>
      </c>
      <c r="H542" s="84" t="str">
        <f t="shared" si="25"/>
        <v/>
      </c>
      <c r="I542" s="84" t="str">
        <f t="shared" si="26"/>
        <v/>
      </c>
      <c r="J542" s="84" t="str">
        <f t="shared" si="27"/>
        <v/>
      </c>
      <c r="K542" s="80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spans="1:26" ht="15.75" customHeight="1" x14ac:dyDescent="0.25">
      <c r="A543" s="62"/>
      <c r="B543" s="62"/>
      <c r="C543" s="76"/>
      <c r="D543" s="77"/>
      <c r="E543" s="62"/>
      <c r="F543" s="83" t="str">
        <f t="shared" si="23"/>
        <v/>
      </c>
      <c r="G543" s="84" t="str">
        <f t="shared" si="24"/>
        <v/>
      </c>
      <c r="H543" s="84" t="str">
        <f t="shared" si="25"/>
        <v/>
      </c>
      <c r="I543" s="84" t="str">
        <f t="shared" si="26"/>
        <v/>
      </c>
      <c r="J543" s="84" t="str">
        <f t="shared" si="27"/>
        <v/>
      </c>
      <c r="K543" s="80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spans="1:26" ht="15.75" customHeight="1" x14ac:dyDescent="0.25">
      <c r="A544" s="62"/>
      <c r="B544" s="62"/>
      <c r="C544" s="76"/>
      <c r="D544" s="77"/>
      <c r="E544" s="62"/>
      <c r="F544" s="83" t="str">
        <f t="shared" si="23"/>
        <v/>
      </c>
      <c r="G544" s="84" t="str">
        <f t="shared" si="24"/>
        <v/>
      </c>
      <c r="H544" s="84" t="str">
        <f t="shared" si="25"/>
        <v/>
      </c>
      <c r="I544" s="84" t="str">
        <f t="shared" si="26"/>
        <v/>
      </c>
      <c r="J544" s="84" t="str">
        <f t="shared" si="27"/>
        <v/>
      </c>
      <c r="K544" s="80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spans="1:26" ht="15.75" customHeight="1" x14ac:dyDescent="0.25">
      <c r="A545" s="62"/>
      <c r="B545" s="62"/>
      <c r="C545" s="76"/>
      <c r="D545" s="77"/>
      <c r="E545" s="62"/>
      <c r="F545" s="83" t="str">
        <f t="shared" si="23"/>
        <v/>
      </c>
      <c r="G545" s="84" t="str">
        <f t="shared" si="24"/>
        <v/>
      </c>
      <c r="H545" s="84" t="str">
        <f t="shared" si="25"/>
        <v/>
      </c>
      <c r="I545" s="84" t="str">
        <f t="shared" si="26"/>
        <v/>
      </c>
      <c r="J545" s="84" t="str">
        <f t="shared" si="27"/>
        <v/>
      </c>
      <c r="K545" s="80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spans="1:26" ht="15.75" customHeight="1" x14ac:dyDescent="0.25">
      <c r="A546" s="62"/>
      <c r="B546" s="62"/>
      <c r="C546" s="76"/>
      <c r="D546" s="77"/>
      <c r="E546" s="62"/>
      <c r="F546" s="83" t="str">
        <f t="shared" si="23"/>
        <v/>
      </c>
      <c r="G546" s="84" t="str">
        <f t="shared" si="24"/>
        <v/>
      </c>
      <c r="H546" s="84" t="str">
        <f t="shared" si="25"/>
        <v/>
      </c>
      <c r="I546" s="84" t="str">
        <f t="shared" si="26"/>
        <v/>
      </c>
      <c r="J546" s="84" t="str">
        <f t="shared" si="27"/>
        <v/>
      </c>
      <c r="K546" s="80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spans="1:26" ht="15.75" customHeight="1" x14ac:dyDescent="0.25">
      <c r="A547" s="62"/>
      <c r="B547" s="62"/>
      <c r="C547" s="76"/>
      <c r="D547" s="77"/>
      <c r="E547" s="62"/>
      <c r="F547" s="83" t="str">
        <f t="shared" si="23"/>
        <v/>
      </c>
      <c r="G547" s="84" t="str">
        <f t="shared" si="24"/>
        <v/>
      </c>
      <c r="H547" s="84" t="str">
        <f t="shared" si="25"/>
        <v/>
      </c>
      <c r="I547" s="84" t="str">
        <f t="shared" si="26"/>
        <v/>
      </c>
      <c r="J547" s="84" t="str">
        <f t="shared" si="27"/>
        <v/>
      </c>
      <c r="K547" s="80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spans="1:26" ht="15.75" customHeight="1" x14ac:dyDescent="0.25">
      <c r="A548" s="62"/>
      <c r="B548" s="62"/>
      <c r="C548" s="76"/>
      <c r="D548" s="77"/>
      <c r="E548" s="62"/>
      <c r="F548" s="83" t="str">
        <f t="shared" si="23"/>
        <v/>
      </c>
      <c r="G548" s="84" t="str">
        <f t="shared" si="24"/>
        <v/>
      </c>
      <c r="H548" s="84" t="str">
        <f t="shared" si="25"/>
        <v/>
      </c>
      <c r="I548" s="84" t="str">
        <f t="shared" si="26"/>
        <v/>
      </c>
      <c r="J548" s="84" t="str">
        <f t="shared" si="27"/>
        <v/>
      </c>
      <c r="K548" s="80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spans="1:26" ht="15.75" customHeight="1" x14ac:dyDescent="0.25">
      <c r="A549" s="62"/>
      <c r="B549" s="62"/>
      <c r="C549" s="76"/>
      <c r="D549" s="77"/>
      <c r="E549" s="62"/>
      <c r="F549" s="83" t="str">
        <f t="shared" si="23"/>
        <v/>
      </c>
      <c r="G549" s="84" t="str">
        <f t="shared" si="24"/>
        <v/>
      </c>
      <c r="H549" s="84" t="str">
        <f t="shared" si="25"/>
        <v/>
      </c>
      <c r="I549" s="84" t="str">
        <f t="shared" si="26"/>
        <v/>
      </c>
      <c r="J549" s="84" t="str">
        <f t="shared" si="27"/>
        <v/>
      </c>
      <c r="K549" s="80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spans="1:26" ht="15.75" customHeight="1" x14ac:dyDescent="0.25">
      <c r="A550" s="62"/>
      <c r="B550" s="62"/>
      <c r="C550" s="76"/>
      <c r="D550" s="77"/>
      <c r="E550" s="62"/>
      <c r="F550" s="83" t="str">
        <f t="shared" si="23"/>
        <v/>
      </c>
      <c r="G550" s="84" t="str">
        <f t="shared" si="24"/>
        <v/>
      </c>
      <c r="H550" s="84" t="str">
        <f t="shared" si="25"/>
        <v/>
      </c>
      <c r="I550" s="84" t="str">
        <f t="shared" si="26"/>
        <v/>
      </c>
      <c r="J550" s="84" t="str">
        <f t="shared" si="27"/>
        <v/>
      </c>
      <c r="K550" s="80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spans="1:26" ht="15.75" customHeight="1" x14ac:dyDescent="0.25">
      <c r="A551" s="62"/>
      <c r="B551" s="62"/>
      <c r="C551" s="76"/>
      <c r="D551" s="77"/>
      <c r="E551" s="62"/>
      <c r="F551" s="83" t="str">
        <f t="shared" si="23"/>
        <v/>
      </c>
      <c r="G551" s="84" t="str">
        <f t="shared" si="24"/>
        <v/>
      </c>
      <c r="H551" s="84" t="str">
        <f t="shared" si="25"/>
        <v/>
      </c>
      <c r="I551" s="84" t="str">
        <f t="shared" si="26"/>
        <v/>
      </c>
      <c r="J551" s="84" t="str">
        <f t="shared" si="27"/>
        <v/>
      </c>
      <c r="K551" s="80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spans="1:26" ht="15.75" customHeight="1" x14ac:dyDescent="0.25">
      <c r="A552" s="62"/>
      <c r="B552" s="62"/>
      <c r="C552" s="76"/>
      <c r="D552" s="77"/>
      <c r="E552" s="62"/>
      <c r="F552" s="83" t="str">
        <f t="shared" si="23"/>
        <v/>
      </c>
      <c r="G552" s="84" t="str">
        <f t="shared" si="24"/>
        <v/>
      </c>
      <c r="H552" s="84" t="str">
        <f t="shared" si="25"/>
        <v/>
      </c>
      <c r="I552" s="84" t="str">
        <f t="shared" si="26"/>
        <v/>
      </c>
      <c r="J552" s="84" t="str">
        <f t="shared" si="27"/>
        <v/>
      </c>
      <c r="K552" s="80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spans="1:26" ht="15.75" customHeight="1" x14ac:dyDescent="0.25">
      <c r="A553" s="62"/>
      <c r="B553" s="62"/>
      <c r="C553" s="76"/>
      <c r="D553" s="77"/>
      <c r="E553" s="62"/>
      <c r="F553" s="83" t="str">
        <f t="shared" si="23"/>
        <v/>
      </c>
      <c r="G553" s="84" t="str">
        <f t="shared" si="24"/>
        <v/>
      </c>
      <c r="H553" s="84" t="str">
        <f t="shared" si="25"/>
        <v/>
      </c>
      <c r="I553" s="84" t="str">
        <f t="shared" si="26"/>
        <v/>
      </c>
      <c r="J553" s="84" t="str">
        <f t="shared" si="27"/>
        <v/>
      </c>
      <c r="K553" s="80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spans="1:26" ht="15.75" customHeight="1" x14ac:dyDescent="0.25">
      <c r="A554" s="62"/>
      <c r="B554" s="62"/>
      <c r="C554" s="76"/>
      <c r="D554" s="77"/>
      <c r="E554" s="62"/>
      <c r="F554" s="83" t="str">
        <f t="shared" si="23"/>
        <v/>
      </c>
      <c r="G554" s="84" t="str">
        <f t="shared" si="24"/>
        <v/>
      </c>
      <c r="H554" s="84" t="str">
        <f t="shared" si="25"/>
        <v/>
      </c>
      <c r="I554" s="84" t="str">
        <f t="shared" si="26"/>
        <v/>
      </c>
      <c r="J554" s="84" t="str">
        <f t="shared" si="27"/>
        <v/>
      </c>
      <c r="K554" s="80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spans="1:26" ht="15.75" customHeight="1" x14ac:dyDescent="0.25">
      <c r="A555" s="62"/>
      <c r="B555" s="62"/>
      <c r="C555" s="76"/>
      <c r="D555" s="77"/>
      <c r="E555" s="62"/>
      <c r="F555" s="83" t="str">
        <f t="shared" si="23"/>
        <v/>
      </c>
      <c r="G555" s="84" t="str">
        <f t="shared" si="24"/>
        <v/>
      </c>
      <c r="H555" s="84" t="str">
        <f t="shared" si="25"/>
        <v/>
      </c>
      <c r="I555" s="84" t="str">
        <f t="shared" si="26"/>
        <v/>
      </c>
      <c r="J555" s="84" t="str">
        <f t="shared" si="27"/>
        <v/>
      </c>
      <c r="K555" s="80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spans="1:26" ht="15.75" customHeight="1" x14ac:dyDescent="0.25">
      <c r="A556" s="62"/>
      <c r="B556" s="62"/>
      <c r="C556" s="76"/>
      <c r="D556" s="77"/>
      <c r="E556" s="62"/>
      <c r="F556" s="83" t="str">
        <f t="shared" si="23"/>
        <v/>
      </c>
      <c r="G556" s="84" t="str">
        <f t="shared" si="24"/>
        <v/>
      </c>
      <c r="H556" s="84" t="str">
        <f t="shared" si="25"/>
        <v/>
      </c>
      <c r="I556" s="84" t="str">
        <f t="shared" si="26"/>
        <v/>
      </c>
      <c r="J556" s="84" t="str">
        <f t="shared" si="27"/>
        <v/>
      </c>
      <c r="K556" s="80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spans="1:26" ht="15.75" customHeight="1" x14ac:dyDescent="0.25">
      <c r="A557" s="62"/>
      <c r="B557" s="62"/>
      <c r="C557" s="76"/>
      <c r="D557" s="77"/>
      <c r="E557" s="62"/>
      <c r="F557" s="83" t="str">
        <f t="shared" si="23"/>
        <v/>
      </c>
      <c r="G557" s="84" t="str">
        <f t="shared" si="24"/>
        <v/>
      </c>
      <c r="H557" s="84" t="str">
        <f t="shared" si="25"/>
        <v/>
      </c>
      <c r="I557" s="84" t="str">
        <f t="shared" si="26"/>
        <v/>
      </c>
      <c r="J557" s="84" t="str">
        <f t="shared" si="27"/>
        <v/>
      </c>
      <c r="K557" s="80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spans="1:26" ht="15.75" customHeight="1" x14ac:dyDescent="0.25">
      <c r="A558" s="62"/>
      <c r="B558" s="62"/>
      <c r="C558" s="76"/>
      <c r="D558" s="77"/>
      <c r="E558" s="62"/>
      <c r="F558" s="83" t="str">
        <f t="shared" si="23"/>
        <v/>
      </c>
      <c r="G558" s="84" t="str">
        <f t="shared" si="24"/>
        <v/>
      </c>
      <c r="H558" s="84" t="str">
        <f t="shared" si="25"/>
        <v/>
      </c>
      <c r="I558" s="84" t="str">
        <f t="shared" si="26"/>
        <v/>
      </c>
      <c r="J558" s="84" t="str">
        <f t="shared" si="27"/>
        <v/>
      </c>
      <c r="K558" s="80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spans="1:26" ht="15.75" customHeight="1" x14ac:dyDescent="0.25">
      <c r="A559" s="62"/>
      <c r="B559" s="62"/>
      <c r="C559" s="76"/>
      <c r="D559" s="77"/>
      <c r="E559" s="62"/>
      <c r="F559" s="83" t="str">
        <f t="shared" si="23"/>
        <v/>
      </c>
      <c r="G559" s="84" t="str">
        <f t="shared" si="24"/>
        <v/>
      </c>
      <c r="H559" s="84" t="str">
        <f t="shared" si="25"/>
        <v/>
      </c>
      <c r="I559" s="84" t="str">
        <f t="shared" si="26"/>
        <v/>
      </c>
      <c r="J559" s="84" t="str">
        <f t="shared" si="27"/>
        <v/>
      </c>
      <c r="K559" s="80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spans="1:26" ht="15.75" customHeight="1" x14ac:dyDescent="0.25">
      <c r="A560" s="62"/>
      <c r="B560" s="62"/>
      <c r="C560" s="76"/>
      <c r="D560" s="77"/>
      <c r="E560" s="62"/>
      <c r="F560" s="83" t="str">
        <f t="shared" si="23"/>
        <v/>
      </c>
      <c r="G560" s="84" t="str">
        <f t="shared" si="24"/>
        <v/>
      </c>
      <c r="H560" s="84" t="str">
        <f t="shared" si="25"/>
        <v/>
      </c>
      <c r="I560" s="84" t="str">
        <f t="shared" si="26"/>
        <v/>
      </c>
      <c r="J560" s="84" t="str">
        <f t="shared" si="27"/>
        <v/>
      </c>
      <c r="K560" s="80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spans="1:26" ht="15.75" customHeight="1" x14ac:dyDescent="0.25">
      <c r="A561" s="62"/>
      <c r="B561" s="62"/>
      <c r="C561" s="76"/>
      <c r="D561" s="77"/>
      <c r="E561" s="62"/>
      <c r="F561" s="83" t="str">
        <f t="shared" si="23"/>
        <v/>
      </c>
      <c r="G561" s="84" t="str">
        <f t="shared" si="24"/>
        <v/>
      </c>
      <c r="H561" s="84" t="str">
        <f t="shared" si="25"/>
        <v/>
      </c>
      <c r="I561" s="84" t="str">
        <f t="shared" si="26"/>
        <v/>
      </c>
      <c r="J561" s="84" t="str">
        <f t="shared" si="27"/>
        <v/>
      </c>
      <c r="K561" s="80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spans="1:26" ht="15.75" customHeight="1" x14ac:dyDescent="0.25">
      <c r="A562" s="62"/>
      <c r="B562" s="62"/>
      <c r="C562" s="76"/>
      <c r="D562" s="77"/>
      <c r="E562" s="62"/>
      <c r="F562" s="83" t="str">
        <f t="shared" si="23"/>
        <v/>
      </c>
      <c r="G562" s="84" t="str">
        <f t="shared" si="24"/>
        <v/>
      </c>
      <c r="H562" s="84" t="str">
        <f t="shared" si="25"/>
        <v/>
      </c>
      <c r="I562" s="84" t="str">
        <f t="shared" si="26"/>
        <v/>
      </c>
      <c r="J562" s="84" t="str">
        <f t="shared" si="27"/>
        <v/>
      </c>
      <c r="K562" s="80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spans="1:26" ht="15.75" customHeight="1" x14ac:dyDescent="0.25">
      <c r="A563" s="62"/>
      <c r="B563" s="62"/>
      <c r="C563" s="76"/>
      <c r="D563" s="77"/>
      <c r="E563" s="62"/>
      <c r="F563" s="83" t="str">
        <f t="shared" si="23"/>
        <v/>
      </c>
      <c r="G563" s="84" t="str">
        <f t="shared" si="24"/>
        <v/>
      </c>
      <c r="H563" s="84" t="str">
        <f t="shared" si="25"/>
        <v/>
      </c>
      <c r="I563" s="84" t="str">
        <f t="shared" si="26"/>
        <v/>
      </c>
      <c r="J563" s="84" t="str">
        <f t="shared" si="27"/>
        <v/>
      </c>
      <c r="K563" s="80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spans="1:26" ht="15.75" customHeight="1" x14ac:dyDescent="0.25">
      <c r="A564" s="62"/>
      <c r="B564" s="62"/>
      <c r="C564" s="76"/>
      <c r="D564" s="77"/>
      <c r="E564" s="62"/>
      <c r="F564" s="83" t="str">
        <f t="shared" si="23"/>
        <v/>
      </c>
      <c r="G564" s="84" t="str">
        <f t="shared" si="24"/>
        <v/>
      </c>
      <c r="H564" s="84" t="str">
        <f t="shared" si="25"/>
        <v/>
      </c>
      <c r="I564" s="84" t="str">
        <f t="shared" si="26"/>
        <v/>
      </c>
      <c r="J564" s="84" t="str">
        <f t="shared" si="27"/>
        <v/>
      </c>
      <c r="K564" s="80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spans="1:26" ht="15.75" customHeight="1" x14ac:dyDescent="0.25">
      <c r="A565" s="62"/>
      <c r="B565" s="62"/>
      <c r="C565" s="76"/>
      <c r="D565" s="77"/>
      <c r="E565" s="62"/>
      <c r="F565" s="83" t="str">
        <f t="shared" si="23"/>
        <v/>
      </c>
      <c r="G565" s="84" t="str">
        <f t="shared" si="24"/>
        <v/>
      </c>
      <c r="H565" s="84" t="str">
        <f t="shared" si="25"/>
        <v/>
      </c>
      <c r="I565" s="84" t="str">
        <f t="shared" si="26"/>
        <v/>
      </c>
      <c r="J565" s="84" t="str">
        <f t="shared" si="27"/>
        <v/>
      </c>
      <c r="K565" s="80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spans="1:26" ht="15.75" customHeight="1" x14ac:dyDescent="0.25">
      <c r="A566" s="62"/>
      <c r="B566" s="62"/>
      <c r="C566" s="76"/>
      <c r="D566" s="77"/>
      <c r="E566" s="62"/>
      <c r="F566" s="83" t="str">
        <f t="shared" si="23"/>
        <v/>
      </c>
      <c r="G566" s="84" t="str">
        <f t="shared" si="24"/>
        <v/>
      </c>
      <c r="H566" s="84" t="str">
        <f t="shared" si="25"/>
        <v/>
      </c>
      <c r="I566" s="84" t="str">
        <f t="shared" si="26"/>
        <v/>
      </c>
      <c r="J566" s="84" t="str">
        <f t="shared" si="27"/>
        <v/>
      </c>
      <c r="K566" s="80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spans="1:26" ht="15.75" customHeight="1" x14ac:dyDescent="0.25">
      <c r="A567" s="62"/>
      <c r="B567" s="62"/>
      <c r="C567" s="76"/>
      <c r="D567" s="77"/>
      <c r="E567" s="62"/>
      <c r="F567" s="83" t="str">
        <f t="shared" si="23"/>
        <v/>
      </c>
      <c r="G567" s="84" t="str">
        <f t="shared" si="24"/>
        <v/>
      </c>
      <c r="H567" s="84" t="str">
        <f t="shared" si="25"/>
        <v/>
      </c>
      <c r="I567" s="84" t="str">
        <f t="shared" si="26"/>
        <v/>
      </c>
      <c r="J567" s="84" t="str">
        <f t="shared" si="27"/>
        <v/>
      </c>
      <c r="K567" s="80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spans="1:26" ht="15.75" customHeight="1" x14ac:dyDescent="0.25">
      <c r="A568" s="62"/>
      <c r="B568" s="62"/>
      <c r="C568" s="76"/>
      <c r="D568" s="77"/>
      <c r="E568" s="62"/>
      <c r="F568" s="83" t="str">
        <f t="shared" si="23"/>
        <v/>
      </c>
      <c r="G568" s="84" t="str">
        <f t="shared" si="24"/>
        <v/>
      </c>
      <c r="H568" s="84" t="str">
        <f t="shared" si="25"/>
        <v/>
      </c>
      <c r="I568" s="84" t="str">
        <f t="shared" si="26"/>
        <v/>
      </c>
      <c r="J568" s="84" t="str">
        <f t="shared" si="27"/>
        <v/>
      </c>
      <c r="K568" s="80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spans="1:26" ht="15.75" customHeight="1" x14ac:dyDescent="0.25">
      <c r="A569" s="62"/>
      <c r="B569" s="62"/>
      <c r="C569" s="76"/>
      <c r="D569" s="77"/>
      <c r="E569" s="62"/>
      <c r="F569" s="83" t="str">
        <f t="shared" si="23"/>
        <v/>
      </c>
      <c r="G569" s="84" t="str">
        <f t="shared" si="24"/>
        <v/>
      </c>
      <c r="H569" s="84" t="str">
        <f t="shared" si="25"/>
        <v/>
      </c>
      <c r="I569" s="84" t="str">
        <f t="shared" si="26"/>
        <v/>
      </c>
      <c r="J569" s="84" t="str">
        <f t="shared" si="27"/>
        <v/>
      </c>
      <c r="K569" s="80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spans="1:26" ht="15.75" customHeight="1" x14ac:dyDescent="0.25">
      <c r="A570" s="62"/>
      <c r="B570" s="62"/>
      <c r="C570" s="76"/>
      <c r="D570" s="77"/>
      <c r="E570" s="62"/>
      <c r="F570" s="83" t="str">
        <f t="shared" si="23"/>
        <v/>
      </c>
      <c r="G570" s="84" t="str">
        <f t="shared" si="24"/>
        <v/>
      </c>
      <c r="H570" s="84" t="str">
        <f t="shared" si="25"/>
        <v/>
      </c>
      <c r="I570" s="84" t="str">
        <f t="shared" si="26"/>
        <v/>
      </c>
      <c r="J570" s="84" t="str">
        <f t="shared" si="27"/>
        <v/>
      </c>
      <c r="K570" s="80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spans="1:26" ht="15.75" customHeight="1" x14ac:dyDescent="0.25">
      <c r="A571" s="62"/>
      <c r="B571" s="62"/>
      <c r="C571" s="76"/>
      <c r="D571" s="77"/>
      <c r="E571" s="62"/>
      <c r="F571" s="83" t="str">
        <f t="shared" si="23"/>
        <v/>
      </c>
      <c r="G571" s="84" t="str">
        <f t="shared" si="24"/>
        <v/>
      </c>
      <c r="H571" s="84" t="str">
        <f t="shared" si="25"/>
        <v/>
      </c>
      <c r="I571" s="84" t="str">
        <f t="shared" si="26"/>
        <v/>
      </c>
      <c r="J571" s="84" t="str">
        <f t="shared" si="27"/>
        <v/>
      </c>
      <c r="K571" s="80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spans="1:26" ht="15.75" customHeight="1" x14ac:dyDescent="0.25">
      <c r="A572" s="62"/>
      <c r="B572" s="62"/>
      <c r="C572" s="76"/>
      <c r="D572" s="77"/>
      <c r="E572" s="62"/>
      <c r="F572" s="83" t="str">
        <f t="shared" si="23"/>
        <v/>
      </c>
      <c r="G572" s="84" t="str">
        <f t="shared" si="24"/>
        <v/>
      </c>
      <c r="H572" s="84" t="str">
        <f t="shared" si="25"/>
        <v/>
      </c>
      <c r="I572" s="84" t="str">
        <f t="shared" si="26"/>
        <v/>
      </c>
      <c r="J572" s="84" t="str">
        <f t="shared" si="27"/>
        <v/>
      </c>
      <c r="K572" s="80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spans="1:26" ht="15.75" customHeight="1" x14ac:dyDescent="0.25">
      <c r="A573" s="62"/>
      <c r="B573" s="62"/>
      <c r="C573" s="76"/>
      <c r="D573" s="77"/>
      <c r="E573" s="62"/>
      <c r="F573" s="83" t="str">
        <f t="shared" si="23"/>
        <v/>
      </c>
      <c r="G573" s="84" t="str">
        <f t="shared" si="24"/>
        <v/>
      </c>
      <c r="H573" s="84" t="str">
        <f t="shared" si="25"/>
        <v/>
      </c>
      <c r="I573" s="84" t="str">
        <f t="shared" si="26"/>
        <v/>
      </c>
      <c r="J573" s="84" t="str">
        <f t="shared" si="27"/>
        <v/>
      </c>
      <c r="K573" s="80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spans="1:26" ht="15.75" customHeight="1" x14ac:dyDescent="0.25">
      <c r="A574" s="62"/>
      <c r="B574" s="62"/>
      <c r="C574" s="76"/>
      <c r="D574" s="77"/>
      <c r="E574" s="62"/>
      <c r="F574" s="83" t="str">
        <f t="shared" si="23"/>
        <v/>
      </c>
      <c r="G574" s="84" t="str">
        <f t="shared" si="24"/>
        <v/>
      </c>
      <c r="H574" s="84" t="str">
        <f t="shared" si="25"/>
        <v/>
      </c>
      <c r="I574" s="84" t="str">
        <f t="shared" si="26"/>
        <v/>
      </c>
      <c r="J574" s="84" t="str">
        <f t="shared" si="27"/>
        <v/>
      </c>
      <c r="K574" s="80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spans="1:26" ht="15.75" customHeight="1" x14ac:dyDescent="0.25">
      <c r="A575" s="62"/>
      <c r="B575" s="62"/>
      <c r="C575" s="76"/>
      <c r="D575" s="77"/>
      <c r="E575" s="62"/>
      <c r="F575" s="83" t="str">
        <f t="shared" si="23"/>
        <v/>
      </c>
      <c r="G575" s="84" t="str">
        <f t="shared" si="24"/>
        <v/>
      </c>
      <c r="H575" s="84" t="str">
        <f t="shared" si="25"/>
        <v/>
      </c>
      <c r="I575" s="84" t="str">
        <f t="shared" si="26"/>
        <v/>
      </c>
      <c r="J575" s="84" t="str">
        <f t="shared" si="27"/>
        <v/>
      </c>
      <c r="K575" s="80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spans="1:26" ht="15.75" customHeight="1" x14ac:dyDescent="0.25">
      <c r="A576" s="62"/>
      <c r="B576" s="62"/>
      <c r="C576" s="76"/>
      <c r="D576" s="77"/>
      <c r="E576" s="62"/>
      <c r="F576" s="83" t="str">
        <f t="shared" si="23"/>
        <v/>
      </c>
      <c r="G576" s="84" t="str">
        <f t="shared" si="24"/>
        <v/>
      </c>
      <c r="H576" s="84" t="str">
        <f t="shared" si="25"/>
        <v/>
      </c>
      <c r="I576" s="84" t="str">
        <f t="shared" si="26"/>
        <v/>
      </c>
      <c r="J576" s="84" t="str">
        <f t="shared" si="27"/>
        <v/>
      </c>
      <c r="K576" s="80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spans="1:26" ht="15.75" customHeight="1" x14ac:dyDescent="0.25">
      <c r="A577" s="62"/>
      <c r="B577" s="62"/>
      <c r="C577" s="76"/>
      <c r="D577" s="77"/>
      <c r="E577" s="62"/>
      <c r="F577" s="83" t="str">
        <f t="shared" si="23"/>
        <v/>
      </c>
      <c r="G577" s="84" t="str">
        <f t="shared" si="24"/>
        <v/>
      </c>
      <c r="H577" s="84" t="str">
        <f t="shared" si="25"/>
        <v/>
      </c>
      <c r="I577" s="84" t="str">
        <f t="shared" si="26"/>
        <v/>
      </c>
      <c r="J577" s="84" t="str">
        <f t="shared" si="27"/>
        <v/>
      </c>
      <c r="K577" s="80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spans="1:26" ht="15.75" customHeight="1" x14ac:dyDescent="0.25">
      <c r="A578" s="62"/>
      <c r="B578" s="62"/>
      <c r="C578" s="76"/>
      <c r="D578" s="77"/>
      <c r="E578" s="62"/>
      <c r="F578" s="83" t="str">
        <f t="shared" si="23"/>
        <v/>
      </c>
      <c r="G578" s="84" t="str">
        <f t="shared" si="24"/>
        <v/>
      </c>
      <c r="H578" s="84" t="str">
        <f t="shared" si="25"/>
        <v/>
      </c>
      <c r="I578" s="84" t="str">
        <f t="shared" si="26"/>
        <v/>
      </c>
      <c r="J578" s="84" t="str">
        <f t="shared" si="27"/>
        <v/>
      </c>
      <c r="K578" s="80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spans="1:26" ht="15.75" customHeight="1" x14ac:dyDescent="0.25">
      <c r="A579" s="62"/>
      <c r="B579" s="62"/>
      <c r="C579" s="76"/>
      <c r="D579" s="77"/>
      <c r="E579" s="62"/>
      <c r="F579" s="83" t="str">
        <f t="shared" si="23"/>
        <v/>
      </c>
      <c r="G579" s="84" t="str">
        <f t="shared" si="24"/>
        <v/>
      </c>
      <c r="H579" s="84" t="str">
        <f t="shared" si="25"/>
        <v/>
      </c>
      <c r="I579" s="84" t="str">
        <f t="shared" si="26"/>
        <v/>
      </c>
      <c r="J579" s="84" t="str">
        <f t="shared" si="27"/>
        <v/>
      </c>
      <c r="K579" s="80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spans="1:26" ht="15.75" customHeight="1" x14ac:dyDescent="0.25">
      <c r="A580" s="62"/>
      <c r="B580" s="62"/>
      <c r="C580" s="76"/>
      <c r="D580" s="77"/>
      <c r="E580" s="62"/>
      <c r="F580" s="83" t="str">
        <f t="shared" si="23"/>
        <v/>
      </c>
      <c r="G580" s="84" t="str">
        <f t="shared" si="24"/>
        <v/>
      </c>
      <c r="H580" s="84" t="str">
        <f t="shared" si="25"/>
        <v/>
      </c>
      <c r="I580" s="84" t="str">
        <f t="shared" si="26"/>
        <v/>
      </c>
      <c r="J580" s="84" t="str">
        <f t="shared" si="27"/>
        <v/>
      </c>
      <c r="K580" s="80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spans="1:26" ht="15.75" customHeight="1" x14ac:dyDescent="0.25">
      <c r="A581" s="62"/>
      <c r="B581" s="62"/>
      <c r="C581" s="76"/>
      <c r="D581" s="77"/>
      <c r="E581" s="62"/>
      <c r="F581" s="83" t="str">
        <f t="shared" si="23"/>
        <v/>
      </c>
      <c r="G581" s="84" t="str">
        <f t="shared" si="24"/>
        <v/>
      </c>
      <c r="H581" s="84" t="str">
        <f t="shared" si="25"/>
        <v/>
      </c>
      <c r="I581" s="84" t="str">
        <f t="shared" si="26"/>
        <v/>
      </c>
      <c r="J581" s="84" t="str">
        <f t="shared" si="27"/>
        <v/>
      </c>
      <c r="K581" s="80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spans="1:26" ht="15.75" customHeight="1" x14ac:dyDescent="0.25">
      <c r="A582" s="62"/>
      <c r="B582" s="62"/>
      <c r="C582" s="76"/>
      <c r="D582" s="77"/>
      <c r="E582" s="62"/>
      <c r="F582" s="83" t="str">
        <f t="shared" si="23"/>
        <v/>
      </c>
      <c r="G582" s="84" t="str">
        <f t="shared" si="24"/>
        <v/>
      </c>
      <c r="H582" s="84" t="str">
        <f t="shared" si="25"/>
        <v/>
      </c>
      <c r="I582" s="84" t="str">
        <f t="shared" si="26"/>
        <v/>
      </c>
      <c r="J582" s="84" t="str">
        <f t="shared" si="27"/>
        <v/>
      </c>
      <c r="K582" s="80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spans="1:26" ht="15.75" customHeight="1" x14ac:dyDescent="0.25">
      <c r="A583" s="62"/>
      <c r="B583" s="62"/>
      <c r="C583" s="76"/>
      <c r="D583" s="77"/>
      <c r="E583" s="62"/>
      <c r="F583" s="83" t="str">
        <f t="shared" si="23"/>
        <v/>
      </c>
      <c r="G583" s="84" t="str">
        <f t="shared" si="24"/>
        <v/>
      </c>
      <c r="H583" s="84" t="str">
        <f t="shared" si="25"/>
        <v/>
      </c>
      <c r="I583" s="84" t="str">
        <f t="shared" si="26"/>
        <v/>
      </c>
      <c r="J583" s="84" t="str">
        <f t="shared" si="27"/>
        <v/>
      </c>
      <c r="K583" s="80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spans="1:26" ht="15.75" customHeight="1" x14ac:dyDescent="0.25">
      <c r="A584" s="62"/>
      <c r="B584" s="62"/>
      <c r="C584" s="76"/>
      <c r="D584" s="77"/>
      <c r="E584" s="62"/>
      <c r="F584" s="83" t="str">
        <f t="shared" si="23"/>
        <v/>
      </c>
      <c r="G584" s="84" t="str">
        <f t="shared" si="24"/>
        <v/>
      </c>
      <c r="H584" s="84" t="str">
        <f t="shared" si="25"/>
        <v/>
      </c>
      <c r="I584" s="84" t="str">
        <f t="shared" si="26"/>
        <v/>
      </c>
      <c r="J584" s="84" t="str">
        <f t="shared" si="27"/>
        <v/>
      </c>
      <c r="K584" s="80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spans="1:26" ht="15.75" customHeight="1" x14ac:dyDescent="0.25">
      <c r="A585" s="62"/>
      <c r="B585" s="62"/>
      <c r="C585" s="76"/>
      <c r="D585" s="77"/>
      <c r="E585" s="62"/>
      <c r="F585" s="83" t="str">
        <f t="shared" si="23"/>
        <v/>
      </c>
      <c r="G585" s="84" t="str">
        <f t="shared" si="24"/>
        <v/>
      </c>
      <c r="H585" s="84" t="str">
        <f t="shared" si="25"/>
        <v/>
      </c>
      <c r="I585" s="84" t="str">
        <f t="shared" si="26"/>
        <v/>
      </c>
      <c r="J585" s="84" t="str">
        <f t="shared" si="27"/>
        <v/>
      </c>
      <c r="K585" s="80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spans="1:26" ht="15.75" customHeight="1" x14ac:dyDescent="0.25">
      <c r="A586" s="62"/>
      <c r="B586" s="62"/>
      <c r="C586" s="76"/>
      <c r="D586" s="77"/>
      <c r="E586" s="62"/>
      <c r="F586" s="83" t="str">
        <f t="shared" si="23"/>
        <v/>
      </c>
      <c r="G586" s="84" t="str">
        <f t="shared" si="24"/>
        <v/>
      </c>
      <c r="H586" s="84" t="str">
        <f t="shared" si="25"/>
        <v/>
      </c>
      <c r="I586" s="84" t="str">
        <f t="shared" si="26"/>
        <v/>
      </c>
      <c r="J586" s="84" t="str">
        <f t="shared" si="27"/>
        <v/>
      </c>
      <c r="K586" s="80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spans="1:26" ht="15.75" customHeight="1" x14ac:dyDescent="0.25">
      <c r="A587" s="62"/>
      <c r="B587" s="62"/>
      <c r="C587" s="76"/>
      <c r="D587" s="77"/>
      <c r="E587" s="62"/>
      <c r="F587" s="83" t="str">
        <f t="shared" si="23"/>
        <v/>
      </c>
      <c r="G587" s="84" t="str">
        <f t="shared" si="24"/>
        <v/>
      </c>
      <c r="H587" s="84" t="str">
        <f t="shared" si="25"/>
        <v/>
      </c>
      <c r="I587" s="84" t="str">
        <f t="shared" si="26"/>
        <v/>
      </c>
      <c r="J587" s="84" t="str">
        <f t="shared" si="27"/>
        <v/>
      </c>
      <c r="K587" s="80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spans="1:26" ht="15.75" customHeight="1" x14ac:dyDescent="0.25">
      <c r="A588" s="62"/>
      <c r="B588" s="62"/>
      <c r="C588" s="76"/>
      <c r="D588" s="77"/>
      <c r="E588" s="62"/>
      <c r="F588" s="83" t="str">
        <f t="shared" si="23"/>
        <v/>
      </c>
      <c r="G588" s="84" t="str">
        <f t="shared" si="24"/>
        <v/>
      </c>
      <c r="H588" s="84" t="str">
        <f t="shared" si="25"/>
        <v/>
      </c>
      <c r="I588" s="84" t="str">
        <f t="shared" si="26"/>
        <v/>
      </c>
      <c r="J588" s="84" t="str">
        <f t="shared" si="27"/>
        <v/>
      </c>
      <c r="K588" s="80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spans="1:26" ht="15.75" customHeight="1" x14ac:dyDescent="0.25">
      <c r="A589" s="62"/>
      <c r="B589" s="62"/>
      <c r="C589" s="76"/>
      <c r="D589" s="77"/>
      <c r="E589" s="62"/>
      <c r="F589" s="83" t="str">
        <f t="shared" si="23"/>
        <v/>
      </c>
      <c r="G589" s="84" t="str">
        <f t="shared" si="24"/>
        <v/>
      </c>
      <c r="H589" s="84" t="str">
        <f t="shared" si="25"/>
        <v/>
      </c>
      <c r="I589" s="84" t="str">
        <f t="shared" si="26"/>
        <v/>
      </c>
      <c r="J589" s="84" t="str">
        <f t="shared" si="27"/>
        <v/>
      </c>
      <c r="K589" s="80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spans="1:26" ht="15.75" customHeight="1" x14ac:dyDescent="0.25">
      <c r="A590" s="62"/>
      <c r="B590" s="62"/>
      <c r="C590" s="76"/>
      <c r="D590" s="77"/>
      <c r="E590" s="62"/>
      <c r="F590" s="83" t="str">
        <f t="shared" si="23"/>
        <v/>
      </c>
      <c r="G590" s="84" t="str">
        <f t="shared" si="24"/>
        <v/>
      </c>
      <c r="H590" s="84" t="str">
        <f t="shared" si="25"/>
        <v/>
      </c>
      <c r="I590" s="84" t="str">
        <f t="shared" si="26"/>
        <v/>
      </c>
      <c r="J590" s="84" t="str">
        <f t="shared" si="27"/>
        <v/>
      </c>
      <c r="K590" s="80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spans="1:26" ht="15.75" customHeight="1" x14ac:dyDescent="0.25">
      <c r="A591" s="62"/>
      <c r="B591" s="62"/>
      <c r="C591" s="76"/>
      <c r="D591" s="77"/>
      <c r="E591" s="62"/>
      <c r="F591" s="83" t="str">
        <f t="shared" si="23"/>
        <v/>
      </c>
      <c r="G591" s="84" t="str">
        <f t="shared" si="24"/>
        <v/>
      </c>
      <c r="H591" s="84" t="str">
        <f t="shared" si="25"/>
        <v/>
      </c>
      <c r="I591" s="84" t="str">
        <f t="shared" si="26"/>
        <v/>
      </c>
      <c r="J591" s="84" t="str">
        <f t="shared" si="27"/>
        <v/>
      </c>
      <c r="K591" s="80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spans="1:26" ht="15.75" customHeight="1" x14ac:dyDescent="0.25">
      <c r="A592" s="62"/>
      <c r="B592" s="62"/>
      <c r="C592" s="76"/>
      <c r="D592" s="77"/>
      <c r="E592" s="62"/>
      <c r="F592" s="83" t="str">
        <f t="shared" si="23"/>
        <v/>
      </c>
      <c r="G592" s="84" t="str">
        <f t="shared" si="24"/>
        <v/>
      </c>
      <c r="H592" s="84" t="str">
        <f t="shared" si="25"/>
        <v/>
      </c>
      <c r="I592" s="84" t="str">
        <f t="shared" si="26"/>
        <v/>
      </c>
      <c r="J592" s="84" t="str">
        <f t="shared" si="27"/>
        <v/>
      </c>
      <c r="K592" s="80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spans="1:26" ht="15.75" customHeight="1" x14ac:dyDescent="0.25">
      <c r="A593" s="62"/>
      <c r="B593" s="62"/>
      <c r="C593" s="76"/>
      <c r="D593" s="77"/>
      <c r="E593" s="62"/>
      <c r="F593" s="83" t="str">
        <f t="shared" si="23"/>
        <v/>
      </c>
      <c r="G593" s="84" t="str">
        <f t="shared" si="24"/>
        <v/>
      </c>
      <c r="H593" s="84" t="str">
        <f t="shared" si="25"/>
        <v/>
      </c>
      <c r="I593" s="84" t="str">
        <f t="shared" si="26"/>
        <v/>
      </c>
      <c r="J593" s="84" t="str">
        <f t="shared" si="27"/>
        <v/>
      </c>
      <c r="K593" s="80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spans="1:26" ht="15.75" customHeight="1" x14ac:dyDescent="0.25">
      <c r="A594" s="62"/>
      <c r="B594" s="62"/>
      <c r="C594" s="76"/>
      <c r="D594" s="77"/>
      <c r="E594" s="62"/>
      <c r="F594" s="83" t="str">
        <f t="shared" si="23"/>
        <v/>
      </c>
      <c r="G594" s="84" t="str">
        <f t="shared" si="24"/>
        <v/>
      </c>
      <c r="H594" s="84" t="str">
        <f t="shared" si="25"/>
        <v/>
      </c>
      <c r="I594" s="84" t="str">
        <f t="shared" si="26"/>
        <v/>
      </c>
      <c r="J594" s="84" t="str">
        <f t="shared" si="27"/>
        <v/>
      </c>
      <c r="K594" s="80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spans="1:26" ht="15.75" customHeight="1" x14ac:dyDescent="0.25">
      <c r="A595" s="62"/>
      <c r="B595" s="62"/>
      <c r="C595" s="76"/>
      <c r="D595" s="77"/>
      <c r="E595" s="62"/>
      <c r="F595" s="83" t="str">
        <f t="shared" si="23"/>
        <v/>
      </c>
      <c r="G595" s="84" t="str">
        <f t="shared" si="24"/>
        <v/>
      </c>
      <c r="H595" s="84" t="str">
        <f t="shared" si="25"/>
        <v/>
      </c>
      <c r="I595" s="84" t="str">
        <f t="shared" si="26"/>
        <v/>
      </c>
      <c r="J595" s="84" t="str">
        <f t="shared" si="27"/>
        <v/>
      </c>
      <c r="K595" s="80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spans="1:26" ht="15.75" customHeight="1" x14ac:dyDescent="0.25">
      <c r="A596" s="62"/>
      <c r="B596" s="62"/>
      <c r="C596" s="76"/>
      <c r="D596" s="77"/>
      <c r="E596" s="62"/>
      <c r="F596" s="83" t="str">
        <f t="shared" si="23"/>
        <v/>
      </c>
      <c r="G596" s="84" t="str">
        <f t="shared" si="24"/>
        <v/>
      </c>
      <c r="H596" s="84" t="str">
        <f t="shared" si="25"/>
        <v/>
      </c>
      <c r="I596" s="84" t="str">
        <f t="shared" si="26"/>
        <v/>
      </c>
      <c r="J596" s="84" t="str">
        <f t="shared" si="27"/>
        <v/>
      </c>
      <c r="K596" s="80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spans="1:26" ht="15.75" customHeight="1" x14ac:dyDescent="0.25">
      <c r="A597" s="62"/>
      <c r="B597" s="62"/>
      <c r="C597" s="76"/>
      <c r="D597" s="77"/>
      <c r="E597" s="62"/>
      <c r="F597" s="83" t="str">
        <f t="shared" si="23"/>
        <v/>
      </c>
      <c r="G597" s="84" t="str">
        <f t="shared" si="24"/>
        <v/>
      </c>
      <c r="H597" s="84" t="str">
        <f t="shared" si="25"/>
        <v/>
      </c>
      <c r="I597" s="84" t="str">
        <f t="shared" si="26"/>
        <v/>
      </c>
      <c r="J597" s="84" t="str">
        <f t="shared" si="27"/>
        <v/>
      </c>
      <c r="K597" s="80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spans="1:26" ht="15.75" customHeight="1" x14ac:dyDescent="0.25">
      <c r="A598" s="62"/>
      <c r="B598" s="62"/>
      <c r="C598" s="76"/>
      <c r="D598" s="77"/>
      <c r="E598" s="62"/>
      <c r="F598" s="83" t="str">
        <f t="shared" si="23"/>
        <v/>
      </c>
      <c r="G598" s="84" t="str">
        <f t="shared" si="24"/>
        <v/>
      </c>
      <c r="H598" s="84" t="str">
        <f t="shared" si="25"/>
        <v/>
      </c>
      <c r="I598" s="84" t="str">
        <f t="shared" si="26"/>
        <v/>
      </c>
      <c r="J598" s="84" t="str">
        <f t="shared" si="27"/>
        <v/>
      </c>
      <c r="K598" s="80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spans="1:26" ht="15.75" customHeight="1" x14ac:dyDescent="0.25">
      <c r="A599" s="62"/>
      <c r="B599" s="62"/>
      <c r="C599" s="76"/>
      <c r="D599" s="77"/>
      <c r="E599" s="62"/>
      <c r="F599" s="83" t="str">
        <f t="shared" si="23"/>
        <v/>
      </c>
      <c r="G599" s="84" t="str">
        <f t="shared" si="24"/>
        <v/>
      </c>
      <c r="H599" s="84" t="str">
        <f t="shared" si="25"/>
        <v/>
      </c>
      <c r="I599" s="84" t="str">
        <f t="shared" si="26"/>
        <v/>
      </c>
      <c r="J599" s="84" t="str">
        <f t="shared" si="27"/>
        <v/>
      </c>
      <c r="K599" s="80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spans="1:26" ht="15.75" customHeight="1" x14ac:dyDescent="0.25">
      <c r="A600" s="62"/>
      <c r="B600" s="62"/>
      <c r="C600" s="76"/>
      <c r="D600" s="77"/>
      <c r="E600" s="62"/>
      <c r="F600" s="83" t="str">
        <f t="shared" si="23"/>
        <v/>
      </c>
      <c r="G600" s="84" t="str">
        <f t="shared" si="24"/>
        <v/>
      </c>
      <c r="H600" s="84" t="str">
        <f t="shared" si="25"/>
        <v/>
      </c>
      <c r="I600" s="84" t="str">
        <f t="shared" si="26"/>
        <v/>
      </c>
      <c r="J600" s="84" t="str">
        <f t="shared" si="27"/>
        <v/>
      </c>
      <c r="K600" s="80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spans="1:26" ht="15.75" customHeight="1" x14ac:dyDescent="0.25">
      <c r="A601" s="62"/>
      <c r="B601" s="62"/>
      <c r="C601" s="76"/>
      <c r="D601" s="77"/>
      <c r="E601" s="62"/>
      <c r="F601" s="83" t="str">
        <f t="shared" si="23"/>
        <v/>
      </c>
      <c r="G601" s="84" t="str">
        <f t="shared" si="24"/>
        <v/>
      </c>
      <c r="H601" s="84" t="str">
        <f t="shared" si="25"/>
        <v/>
      </c>
      <c r="I601" s="84" t="str">
        <f t="shared" si="26"/>
        <v/>
      </c>
      <c r="J601" s="84" t="str">
        <f t="shared" si="27"/>
        <v/>
      </c>
      <c r="K601" s="80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spans="1:26" ht="15.75" customHeight="1" x14ac:dyDescent="0.25">
      <c r="A602" s="62"/>
      <c r="B602" s="62"/>
      <c r="C602" s="76"/>
      <c r="D602" s="77"/>
      <c r="E602" s="62"/>
      <c r="F602" s="83" t="str">
        <f t="shared" si="23"/>
        <v/>
      </c>
      <c r="G602" s="84" t="str">
        <f t="shared" si="24"/>
        <v/>
      </c>
      <c r="H602" s="84" t="str">
        <f t="shared" si="25"/>
        <v/>
      </c>
      <c r="I602" s="84" t="str">
        <f t="shared" si="26"/>
        <v/>
      </c>
      <c r="J602" s="84" t="str">
        <f t="shared" si="27"/>
        <v/>
      </c>
      <c r="K602" s="80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spans="1:26" ht="15.75" customHeight="1" x14ac:dyDescent="0.25">
      <c r="A603" s="62"/>
      <c r="B603" s="62"/>
      <c r="C603" s="76"/>
      <c r="D603" s="77"/>
      <c r="E603" s="62"/>
      <c r="F603" s="83" t="str">
        <f t="shared" si="23"/>
        <v/>
      </c>
      <c r="G603" s="84" t="str">
        <f t="shared" si="24"/>
        <v/>
      </c>
      <c r="H603" s="84" t="str">
        <f t="shared" si="25"/>
        <v/>
      </c>
      <c r="I603" s="84" t="str">
        <f t="shared" si="26"/>
        <v/>
      </c>
      <c r="J603" s="84" t="str">
        <f t="shared" si="27"/>
        <v/>
      </c>
      <c r="K603" s="80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spans="1:26" ht="15.75" customHeight="1" x14ac:dyDescent="0.25">
      <c r="A604" s="62"/>
      <c r="B604" s="62"/>
      <c r="C604" s="76"/>
      <c r="D604" s="77"/>
      <c r="E604" s="62"/>
      <c r="F604" s="83" t="str">
        <f t="shared" si="23"/>
        <v/>
      </c>
      <c r="G604" s="84" t="str">
        <f t="shared" si="24"/>
        <v/>
      </c>
      <c r="H604" s="84" t="str">
        <f t="shared" si="25"/>
        <v/>
      </c>
      <c r="I604" s="84" t="str">
        <f t="shared" si="26"/>
        <v/>
      </c>
      <c r="J604" s="84" t="str">
        <f t="shared" si="27"/>
        <v/>
      </c>
      <c r="K604" s="80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spans="1:26" ht="15.75" customHeight="1" x14ac:dyDescent="0.25">
      <c r="A605" s="62"/>
      <c r="B605" s="62"/>
      <c r="C605" s="76"/>
      <c r="D605" s="77"/>
      <c r="E605" s="62"/>
      <c r="F605" s="83" t="str">
        <f t="shared" si="23"/>
        <v/>
      </c>
      <c r="G605" s="84" t="str">
        <f t="shared" si="24"/>
        <v/>
      </c>
      <c r="H605" s="84" t="str">
        <f t="shared" si="25"/>
        <v/>
      </c>
      <c r="I605" s="84" t="str">
        <f t="shared" si="26"/>
        <v/>
      </c>
      <c r="J605" s="84" t="str">
        <f t="shared" si="27"/>
        <v/>
      </c>
      <c r="K605" s="80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spans="1:26" ht="15.75" customHeight="1" x14ac:dyDescent="0.25">
      <c r="A606" s="62"/>
      <c r="B606" s="62"/>
      <c r="C606" s="76"/>
      <c r="D606" s="77"/>
      <c r="E606" s="62"/>
      <c r="F606" s="83" t="str">
        <f t="shared" si="23"/>
        <v/>
      </c>
      <c r="G606" s="84" t="str">
        <f t="shared" si="24"/>
        <v/>
      </c>
      <c r="H606" s="84" t="str">
        <f t="shared" si="25"/>
        <v/>
      </c>
      <c r="I606" s="84" t="str">
        <f t="shared" si="26"/>
        <v/>
      </c>
      <c r="J606" s="84" t="str">
        <f t="shared" si="27"/>
        <v/>
      </c>
      <c r="K606" s="80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spans="1:26" ht="15.75" customHeight="1" x14ac:dyDescent="0.25">
      <c r="A607" s="62"/>
      <c r="B607" s="62"/>
      <c r="C607" s="76"/>
      <c r="D607" s="77"/>
      <c r="E607" s="62"/>
      <c r="F607" s="83" t="str">
        <f t="shared" si="23"/>
        <v/>
      </c>
      <c r="G607" s="84" t="str">
        <f t="shared" si="24"/>
        <v/>
      </c>
      <c r="H607" s="84" t="str">
        <f t="shared" si="25"/>
        <v/>
      </c>
      <c r="I607" s="84" t="str">
        <f t="shared" si="26"/>
        <v/>
      </c>
      <c r="J607" s="84" t="str">
        <f t="shared" si="27"/>
        <v/>
      </c>
      <c r="K607" s="80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spans="1:26" ht="15.75" customHeight="1" x14ac:dyDescent="0.25">
      <c r="A608" s="62"/>
      <c r="B608" s="62"/>
      <c r="C608" s="76"/>
      <c r="D608" s="77"/>
      <c r="E608" s="62"/>
      <c r="F608" s="83" t="str">
        <f t="shared" si="23"/>
        <v/>
      </c>
      <c r="G608" s="84" t="str">
        <f t="shared" si="24"/>
        <v/>
      </c>
      <c r="H608" s="84" t="str">
        <f t="shared" si="25"/>
        <v/>
      </c>
      <c r="I608" s="84" t="str">
        <f t="shared" si="26"/>
        <v/>
      </c>
      <c r="J608" s="84" t="str">
        <f t="shared" si="27"/>
        <v/>
      </c>
      <c r="K608" s="80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spans="1:26" ht="15.75" customHeight="1" x14ac:dyDescent="0.25">
      <c r="A609" s="62"/>
      <c r="B609" s="62"/>
      <c r="C609" s="76"/>
      <c r="D609" s="77"/>
      <c r="E609" s="62"/>
      <c r="F609" s="83" t="str">
        <f t="shared" si="23"/>
        <v/>
      </c>
      <c r="G609" s="84" t="str">
        <f t="shared" si="24"/>
        <v/>
      </c>
      <c r="H609" s="84" t="str">
        <f t="shared" si="25"/>
        <v/>
      </c>
      <c r="I609" s="84" t="str">
        <f t="shared" si="26"/>
        <v/>
      </c>
      <c r="J609" s="84" t="str">
        <f t="shared" si="27"/>
        <v/>
      </c>
      <c r="K609" s="80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spans="1:26" ht="15.75" customHeight="1" x14ac:dyDescent="0.25">
      <c r="A610" s="62"/>
      <c r="B610" s="62"/>
      <c r="C610" s="76"/>
      <c r="D610" s="77"/>
      <c r="E610" s="62"/>
      <c r="F610" s="83" t="str">
        <f t="shared" si="23"/>
        <v/>
      </c>
      <c r="G610" s="84" t="str">
        <f t="shared" si="24"/>
        <v/>
      </c>
      <c r="H610" s="84" t="str">
        <f t="shared" si="25"/>
        <v/>
      </c>
      <c r="I610" s="84" t="str">
        <f t="shared" si="26"/>
        <v/>
      </c>
      <c r="J610" s="84" t="str">
        <f t="shared" si="27"/>
        <v/>
      </c>
      <c r="K610" s="80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spans="1:26" ht="15.75" customHeight="1" x14ac:dyDescent="0.25">
      <c r="A611" s="62"/>
      <c r="B611" s="62"/>
      <c r="C611" s="76"/>
      <c r="D611" s="77"/>
      <c r="E611" s="62"/>
      <c r="F611" s="83" t="str">
        <f t="shared" si="23"/>
        <v/>
      </c>
      <c r="G611" s="84" t="str">
        <f t="shared" si="24"/>
        <v/>
      </c>
      <c r="H611" s="84" t="str">
        <f t="shared" si="25"/>
        <v/>
      </c>
      <c r="I611" s="84" t="str">
        <f t="shared" si="26"/>
        <v/>
      </c>
      <c r="J611" s="84" t="str">
        <f t="shared" si="27"/>
        <v/>
      </c>
      <c r="K611" s="80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spans="1:26" ht="15.75" customHeight="1" x14ac:dyDescent="0.25">
      <c r="A612" s="62"/>
      <c r="B612" s="62"/>
      <c r="C612" s="76"/>
      <c r="D612" s="77"/>
      <c r="E612" s="62"/>
      <c r="F612" s="83" t="str">
        <f t="shared" si="23"/>
        <v/>
      </c>
      <c r="G612" s="84" t="str">
        <f t="shared" si="24"/>
        <v/>
      </c>
      <c r="H612" s="84" t="str">
        <f t="shared" si="25"/>
        <v/>
      </c>
      <c r="I612" s="84" t="str">
        <f t="shared" si="26"/>
        <v/>
      </c>
      <c r="J612" s="84" t="str">
        <f t="shared" si="27"/>
        <v/>
      </c>
      <c r="K612" s="80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spans="1:26" ht="15.75" customHeight="1" x14ac:dyDescent="0.25">
      <c r="A613" s="62"/>
      <c r="B613" s="62"/>
      <c r="C613" s="76"/>
      <c r="D613" s="77"/>
      <c r="E613" s="62"/>
      <c r="F613" s="83" t="str">
        <f t="shared" si="23"/>
        <v/>
      </c>
      <c r="G613" s="84" t="str">
        <f t="shared" si="24"/>
        <v/>
      </c>
      <c r="H613" s="84" t="str">
        <f t="shared" si="25"/>
        <v/>
      </c>
      <c r="I613" s="84" t="str">
        <f t="shared" si="26"/>
        <v/>
      </c>
      <c r="J613" s="84" t="str">
        <f t="shared" si="27"/>
        <v/>
      </c>
      <c r="K613" s="80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spans="1:26" ht="15.75" customHeight="1" x14ac:dyDescent="0.25">
      <c r="A614" s="62"/>
      <c r="B614" s="62"/>
      <c r="C614" s="76"/>
      <c r="D614" s="77"/>
      <c r="E614" s="62"/>
      <c r="F614" s="83" t="str">
        <f t="shared" si="23"/>
        <v/>
      </c>
      <c r="G614" s="84" t="str">
        <f t="shared" si="24"/>
        <v/>
      </c>
      <c r="H614" s="84" t="str">
        <f t="shared" si="25"/>
        <v/>
      </c>
      <c r="I614" s="84" t="str">
        <f t="shared" si="26"/>
        <v/>
      </c>
      <c r="J614" s="84" t="str">
        <f t="shared" si="27"/>
        <v/>
      </c>
      <c r="K614" s="80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spans="1:26" ht="15.75" customHeight="1" x14ac:dyDescent="0.25">
      <c r="A615" s="62"/>
      <c r="B615" s="62"/>
      <c r="C615" s="76"/>
      <c r="D615" s="77"/>
      <c r="E615" s="62"/>
      <c r="F615" s="83" t="str">
        <f t="shared" si="23"/>
        <v/>
      </c>
      <c r="G615" s="84" t="str">
        <f t="shared" si="24"/>
        <v/>
      </c>
      <c r="H615" s="84" t="str">
        <f t="shared" si="25"/>
        <v/>
      </c>
      <c r="I615" s="84" t="str">
        <f t="shared" si="26"/>
        <v/>
      </c>
      <c r="J615" s="84" t="str">
        <f t="shared" si="27"/>
        <v/>
      </c>
      <c r="K615" s="80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spans="1:26" ht="15.75" customHeight="1" x14ac:dyDescent="0.25">
      <c r="A616" s="62"/>
      <c r="B616" s="62"/>
      <c r="C616" s="76"/>
      <c r="D616" s="77"/>
      <c r="E616" s="62"/>
      <c r="F616" s="83" t="str">
        <f t="shared" si="23"/>
        <v/>
      </c>
      <c r="G616" s="84" t="str">
        <f t="shared" si="24"/>
        <v/>
      </c>
      <c r="H616" s="84" t="str">
        <f t="shared" si="25"/>
        <v/>
      </c>
      <c r="I616" s="84" t="str">
        <f t="shared" si="26"/>
        <v/>
      </c>
      <c r="J616" s="84" t="str">
        <f t="shared" si="27"/>
        <v/>
      </c>
      <c r="K616" s="80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spans="1:26" ht="15.75" customHeight="1" x14ac:dyDescent="0.25">
      <c r="A617" s="62"/>
      <c r="B617" s="62"/>
      <c r="C617" s="76"/>
      <c r="D617" s="77"/>
      <c r="E617" s="62"/>
      <c r="F617" s="83" t="str">
        <f t="shared" si="23"/>
        <v/>
      </c>
      <c r="G617" s="84" t="str">
        <f t="shared" si="24"/>
        <v/>
      </c>
      <c r="H617" s="84" t="str">
        <f t="shared" si="25"/>
        <v/>
      </c>
      <c r="I617" s="84" t="str">
        <f t="shared" si="26"/>
        <v/>
      </c>
      <c r="J617" s="84" t="str">
        <f t="shared" si="27"/>
        <v/>
      </c>
      <c r="K617" s="80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spans="1:26" ht="15.75" customHeight="1" x14ac:dyDescent="0.25">
      <c r="A618" s="62"/>
      <c r="B618" s="62"/>
      <c r="C618" s="76"/>
      <c r="D618" s="77"/>
      <c r="E618" s="62"/>
      <c r="F618" s="83" t="str">
        <f t="shared" si="23"/>
        <v/>
      </c>
      <c r="G618" s="84" t="str">
        <f t="shared" si="24"/>
        <v/>
      </c>
      <c r="H618" s="84" t="str">
        <f t="shared" si="25"/>
        <v/>
      </c>
      <c r="I618" s="84" t="str">
        <f t="shared" si="26"/>
        <v/>
      </c>
      <c r="J618" s="84" t="str">
        <f t="shared" si="27"/>
        <v/>
      </c>
      <c r="K618" s="80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spans="1:26" ht="15.75" customHeight="1" x14ac:dyDescent="0.25">
      <c r="A619" s="62"/>
      <c r="B619" s="62"/>
      <c r="C619" s="76"/>
      <c r="D619" s="77"/>
      <c r="E619" s="62"/>
      <c r="F619" s="83" t="str">
        <f t="shared" si="23"/>
        <v/>
      </c>
      <c r="G619" s="84" t="str">
        <f t="shared" si="24"/>
        <v/>
      </c>
      <c r="H619" s="84" t="str">
        <f t="shared" si="25"/>
        <v/>
      </c>
      <c r="I619" s="84" t="str">
        <f t="shared" si="26"/>
        <v/>
      </c>
      <c r="J619" s="84" t="str">
        <f t="shared" si="27"/>
        <v/>
      </c>
      <c r="K619" s="80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spans="1:26" ht="15.75" customHeight="1" x14ac:dyDescent="0.25">
      <c r="A620" s="62"/>
      <c r="B620" s="62"/>
      <c r="C620" s="76"/>
      <c r="D620" s="77"/>
      <c r="E620" s="62"/>
      <c r="F620" s="83" t="str">
        <f t="shared" si="23"/>
        <v/>
      </c>
      <c r="G620" s="84" t="str">
        <f t="shared" si="24"/>
        <v/>
      </c>
      <c r="H620" s="84" t="str">
        <f t="shared" si="25"/>
        <v/>
      </c>
      <c r="I620" s="84" t="str">
        <f t="shared" si="26"/>
        <v/>
      </c>
      <c r="J620" s="84" t="str">
        <f t="shared" si="27"/>
        <v/>
      </c>
      <c r="K620" s="80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spans="1:26" ht="15.75" customHeight="1" x14ac:dyDescent="0.25">
      <c r="A621" s="62"/>
      <c r="B621" s="62"/>
      <c r="C621" s="76"/>
      <c r="D621" s="77"/>
      <c r="E621" s="62"/>
      <c r="F621" s="83" t="str">
        <f t="shared" si="23"/>
        <v/>
      </c>
      <c r="G621" s="84" t="str">
        <f t="shared" si="24"/>
        <v/>
      </c>
      <c r="H621" s="84" t="str">
        <f t="shared" si="25"/>
        <v/>
      </c>
      <c r="I621" s="84" t="str">
        <f t="shared" si="26"/>
        <v/>
      </c>
      <c r="J621" s="84" t="str">
        <f t="shared" si="27"/>
        <v/>
      </c>
      <c r="K621" s="80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spans="1:26" ht="15.75" customHeight="1" x14ac:dyDescent="0.25">
      <c r="A622" s="62"/>
      <c r="B622" s="62"/>
      <c r="C622" s="76"/>
      <c r="D622" s="77"/>
      <c r="E622" s="62"/>
      <c r="F622" s="83" t="str">
        <f t="shared" si="23"/>
        <v/>
      </c>
      <c r="G622" s="84" t="str">
        <f t="shared" si="24"/>
        <v/>
      </c>
      <c r="H622" s="84" t="str">
        <f t="shared" si="25"/>
        <v/>
      </c>
      <c r="I622" s="84" t="str">
        <f t="shared" si="26"/>
        <v/>
      </c>
      <c r="J622" s="84" t="str">
        <f t="shared" si="27"/>
        <v/>
      </c>
      <c r="K622" s="80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spans="1:26" ht="15.75" customHeight="1" x14ac:dyDescent="0.25">
      <c r="A623" s="62"/>
      <c r="B623" s="62"/>
      <c r="C623" s="76"/>
      <c r="D623" s="77"/>
      <c r="E623" s="62"/>
      <c r="F623" s="83" t="str">
        <f t="shared" si="23"/>
        <v/>
      </c>
      <c r="G623" s="84" t="str">
        <f t="shared" si="24"/>
        <v/>
      </c>
      <c r="H623" s="84" t="str">
        <f t="shared" si="25"/>
        <v/>
      </c>
      <c r="I623" s="84" t="str">
        <f t="shared" si="26"/>
        <v/>
      </c>
      <c r="J623" s="84" t="str">
        <f t="shared" si="27"/>
        <v/>
      </c>
      <c r="K623" s="80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spans="1:26" ht="15.75" customHeight="1" x14ac:dyDescent="0.25">
      <c r="A624" s="62"/>
      <c r="B624" s="62"/>
      <c r="C624" s="76"/>
      <c r="D624" s="77"/>
      <c r="E624" s="62"/>
      <c r="F624" s="83" t="str">
        <f t="shared" si="23"/>
        <v/>
      </c>
      <c r="G624" s="84" t="str">
        <f t="shared" si="24"/>
        <v/>
      </c>
      <c r="H624" s="84" t="str">
        <f t="shared" si="25"/>
        <v/>
      </c>
      <c r="I624" s="84" t="str">
        <f t="shared" si="26"/>
        <v/>
      </c>
      <c r="J624" s="84" t="str">
        <f t="shared" si="27"/>
        <v/>
      </c>
      <c r="K624" s="80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spans="1:26" ht="15.75" customHeight="1" x14ac:dyDescent="0.25">
      <c r="A625" s="62"/>
      <c r="B625" s="62"/>
      <c r="C625" s="76"/>
      <c r="D625" s="77"/>
      <c r="E625" s="62"/>
      <c r="F625" s="83" t="str">
        <f t="shared" si="23"/>
        <v/>
      </c>
      <c r="G625" s="84" t="str">
        <f t="shared" si="24"/>
        <v/>
      </c>
      <c r="H625" s="84" t="str">
        <f t="shared" si="25"/>
        <v/>
      </c>
      <c r="I625" s="84" t="str">
        <f t="shared" si="26"/>
        <v/>
      </c>
      <c r="J625" s="84" t="str">
        <f t="shared" si="27"/>
        <v/>
      </c>
      <c r="K625" s="80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spans="1:26" ht="15.75" customHeight="1" x14ac:dyDescent="0.25">
      <c r="A626" s="62"/>
      <c r="B626" s="62"/>
      <c r="C626" s="76"/>
      <c r="D626" s="77"/>
      <c r="E626" s="62"/>
      <c r="F626" s="83" t="str">
        <f t="shared" si="23"/>
        <v/>
      </c>
      <c r="G626" s="84" t="str">
        <f t="shared" si="24"/>
        <v/>
      </c>
      <c r="H626" s="84" t="str">
        <f t="shared" si="25"/>
        <v/>
      </c>
      <c r="I626" s="84" t="str">
        <f t="shared" si="26"/>
        <v/>
      </c>
      <c r="J626" s="84" t="str">
        <f t="shared" si="27"/>
        <v/>
      </c>
      <c r="K626" s="80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spans="1:26" ht="15.75" customHeight="1" x14ac:dyDescent="0.25">
      <c r="A627" s="62"/>
      <c r="B627" s="62"/>
      <c r="C627" s="76"/>
      <c r="D627" s="77"/>
      <c r="E627" s="62"/>
      <c r="F627" s="83" t="str">
        <f t="shared" si="23"/>
        <v/>
      </c>
      <c r="G627" s="84" t="str">
        <f t="shared" si="24"/>
        <v/>
      </c>
      <c r="H627" s="84" t="str">
        <f t="shared" si="25"/>
        <v/>
      </c>
      <c r="I627" s="84" t="str">
        <f t="shared" si="26"/>
        <v/>
      </c>
      <c r="J627" s="84" t="str">
        <f t="shared" si="27"/>
        <v/>
      </c>
      <c r="K627" s="80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spans="1:26" ht="15.75" customHeight="1" x14ac:dyDescent="0.25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ed" si="24"/>
        <v/>
      </c>
      <c r="H628" s="84" t="str">
        <f t="shared" si="25"/>
        <v/>
      </c>
      <c r="I628" s="84" t="str">
        <f t="shared" si="26"/>
        <v/>
      </c>
      <c r="J628" s="84" t="str">
        <f t="shared" si="27"/>
        <v/>
      </c>
      <c r="K628" s="80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spans="1:26" ht="15.75" customHeight="1" x14ac:dyDescent="0.25">
      <c r="A629" s="62"/>
      <c r="B629" s="62"/>
      <c r="C629" s="76"/>
      <c r="D629" s="77"/>
      <c r="E629" s="62"/>
      <c r="F629" s="83" t="str">
        <f t="shared" si="23"/>
        <v/>
      </c>
      <c r="G629" s="84" t="str">
        <f t="shared" si="24"/>
        <v/>
      </c>
      <c r="H629" s="84" t="str">
        <f t="shared" si="25"/>
        <v/>
      </c>
      <c r="I629" s="84" t="str">
        <f t="shared" si="26"/>
        <v/>
      </c>
      <c r="J629" s="84" t="str">
        <f t="shared" si="27"/>
        <v/>
      </c>
      <c r="K629" s="80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spans="1:26" ht="15.75" customHeight="1" x14ac:dyDescent="0.25">
      <c r="A630" s="62"/>
      <c r="B630" s="62"/>
      <c r="C630" s="76"/>
      <c r="D630" s="77"/>
      <c r="E630" s="62"/>
      <c r="F630" s="83" t="str">
        <f t="shared" si="23"/>
        <v/>
      </c>
      <c r="G630" s="84" t="str">
        <f t="shared" si="24"/>
        <v/>
      </c>
      <c r="H630" s="84" t="str">
        <f t="shared" si="25"/>
        <v/>
      </c>
      <c r="I630" s="84" t="str">
        <f t="shared" si="26"/>
        <v/>
      </c>
      <c r="J630" s="84" t="str">
        <f t="shared" si="27"/>
        <v/>
      </c>
      <c r="K630" s="80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spans="1:26" ht="15.75" customHeight="1" x14ac:dyDescent="0.25">
      <c r="A631" s="62"/>
      <c r="B631" s="62"/>
      <c r="C631" s="76"/>
      <c r="D631" s="77"/>
      <c r="E631" s="62"/>
      <c r="F631" s="83" t="str">
        <f t="shared" si="23"/>
        <v/>
      </c>
      <c r="G631" s="84" t="str">
        <f t="shared" si="24"/>
        <v/>
      </c>
      <c r="H631" s="84" t="str">
        <f t="shared" si="25"/>
        <v/>
      </c>
      <c r="I631" s="84" t="str">
        <f t="shared" si="26"/>
        <v/>
      </c>
      <c r="J631" s="84" t="str">
        <f t="shared" si="27"/>
        <v/>
      </c>
      <c r="K631" s="80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spans="1:26" ht="15.75" customHeight="1" x14ac:dyDescent="0.25">
      <c r="A632" s="62"/>
      <c r="B632" s="62"/>
      <c r="C632" s="76"/>
      <c r="D632" s="77"/>
      <c r="E632" s="62"/>
      <c r="F632" s="83" t="str">
        <f t="shared" si="23"/>
        <v/>
      </c>
      <c r="G632" s="84" t="str">
        <f t="shared" si="24"/>
        <v/>
      </c>
      <c r="H632" s="84" t="str">
        <f t="shared" si="25"/>
        <v/>
      </c>
      <c r="I632" s="84" t="str">
        <f t="shared" si="26"/>
        <v/>
      </c>
      <c r="J632" s="84" t="str">
        <f t="shared" si="27"/>
        <v/>
      </c>
      <c r="K632" s="80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spans="1:26" ht="15.75" customHeight="1" x14ac:dyDescent="0.25">
      <c r="A633" s="62"/>
      <c r="B633" s="62"/>
      <c r="C633" s="76"/>
      <c r="D633" s="77"/>
      <c r="E633" s="62"/>
      <c r="F633" s="62"/>
      <c r="G633" s="76"/>
      <c r="H633" s="76"/>
      <c r="I633" s="76"/>
      <c r="J633" s="76"/>
      <c r="K633" s="76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spans="1:26" ht="15.75" customHeight="1" x14ac:dyDescent="0.25">
      <c r="A634" s="62"/>
      <c r="B634" s="62"/>
      <c r="C634" s="76"/>
      <c r="D634" s="77"/>
      <c r="E634" s="62"/>
      <c r="F634" s="62"/>
      <c r="G634" s="76"/>
      <c r="H634" s="76"/>
      <c r="I634" s="76"/>
      <c r="J634" s="76"/>
      <c r="K634" s="76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spans="1:26" ht="15.75" customHeight="1" x14ac:dyDescent="0.25">
      <c r="A635" s="62"/>
      <c r="B635" s="62"/>
      <c r="C635" s="76"/>
      <c r="D635" s="77"/>
      <c r="E635" s="62"/>
      <c r="F635" s="62"/>
      <c r="G635" s="76"/>
      <c r="H635" s="76"/>
      <c r="I635" s="76"/>
      <c r="J635" s="76"/>
      <c r="K635" s="76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spans="1:26" ht="15.75" customHeight="1" x14ac:dyDescent="0.25">
      <c r="A636" s="62"/>
      <c r="B636" s="62"/>
      <c r="C636" s="76"/>
      <c r="D636" s="77"/>
      <c r="E636" s="62"/>
      <c r="F636" s="62"/>
      <c r="G636" s="76"/>
      <c r="H636" s="76"/>
      <c r="I636" s="76"/>
      <c r="J636" s="76"/>
      <c r="K636" s="76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spans="1:26" ht="15.75" customHeight="1" x14ac:dyDescent="0.25">
      <c r="A637" s="62"/>
      <c r="B637" s="62"/>
      <c r="C637" s="76"/>
      <c r="D637" s="77"/>
      <c r="E637" s="62"/>
      <c r="F637" s="62"/>
      <c r="G637" s="76"/>
      <c r="H637" s="76"/>
      <c r="I637" s="76"/>
      <c r="J637" s="76"/>
      <c r="K637" s="76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spans="1:26" ht="15.75" customHeight="1" x14ac:dyDescent="0.25">
      <c r="A638" s="62"/>
      <c r="B638" s="62"/>
      <c r="C638" s="76"/>
      <c r="D638" s="77"/>
      <c r="E638" s="62"/>
      <c r="F638" s="62"/>
      <c r="G638" s="76"/>
      <c r="H638" s="76"/>
      <c r="I638" s="76"/>
      <c r="J638" s="76"/>
      <c r="K638" s="76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spans="1:26" ht="15.75" customHeight="1" x14ac:dyDescent="0.25">
      <c r="A639" s="62"/>
      <c r="B639" s="62"/>
      <c r="C639" s="76"/>
      <c r="D639" s="77"/>
      <c r="E639" s="62"/>
      <c r="F639" s="62"/>
      <c r="G639" s="76"/>
      <c r="H639" s="76"/>
      <c r="I639" s="76"/>
      <c r="J639" s="76"/>
      <c r="K639" s="76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spans="1:26" ht="15.75" customHeight="1" x14ac:dyDescent="0.25">
      <c r="A640" s="62"/>
      <c r="B640" s="62"/>
      <c r="C640" s="76"/>
      <c r="D640" s="77"/>
      <c r="E640" s="62"/>
      <c r="F640" s="62"/>
      <c r="G640" s="76"/>
      <c r="H640" s="76"/>
      <c r="I640" s="76"/>
      <c r="J640" s="76"/>
      <c r="K640" s="76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spans="1:26" ht="15.75" customHeight="1" x14ac:dyDescent="0.25">
      <c r="A641" s="62"/>
      <c r="B641" s="62"/>
      <c r="C641" s="76"/>
      <c r="D641" s="77"/>
      <c r="E641" s="62"/>
      <c r="F641" s="62"/>
      <c r="G641" s="76"/>
      <c r="H641" s="76"/>
      <c r="I641" s="76"/>
      <c r="J641" s="76"/>
      <c r="K641" s="76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spans="1:26" ht="15.75" customHeight="1" x14ac:dyDescent="0.25">
      <c r="A642" s="62"/>
      <c r="B642" s="62"/>
      <c r="C642" s="76"/>
      <c r="D642" s="77"/>
      <c r="E642" s="62"/>
      <c r="F642" s="62"/>
      <c r="G642" s="76"/>
      <c r="H642" s="76"/>
      <c r="I642" s="76"/>
      <c r="J642" s="76"/>
      <c r="K642" s="76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spans="1:26" ht="15.75" customHeight="1" x14ac:dyDescent="0.25">
      <c r="A643" s="62"/>
      <c r="B643" s="62"/>
      <c r="C643" s="76"/>
      <c r="D643" s="77"/>
      <c r="E643" s="62"/>
      <c r="F643" s="62"/>
      <c r="G643" s="76"/>
      <c r="H643" s="76"/>
      <c r="I643" s="76"/>
      <c r="J643" s="76"/>
      <c r="K643" s="76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spans="1:26" ht="15.75" customHeight="1" x14ac:dyDescent="0.25">
      <c r="A644" s="62"/>
      <c r="B644" s="62"/>
      <c r="C644" s="76"/>
      <c r="D644" s="77"/>
      <c r="E644" s="62"/>
      <c r="F644" s="62"/>
      <c r="G644" s="76"/>
      <c r="H644" s="76"/>
      <c r="I644" s="76"/>
      <c r="J644" s="76"/>
      <c r="K644" s="76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spans="1:26" ht="15.75" customHeight="1" x14ac:dyDescent="0.25">
      <c r="A645" s="62"/>
      <c r="B645" s="62"/>
      <c r="C645" s="76"/>
      <c r="D645" s="77"/>
      <c r="E645" s="62"/>
      <c r="F645" s="62"/>
      <c r="G645" s="76"/>
      <c r="H645" s="76"/>
      <c r="I645" s="76"/>
      <c r="J645" s="76"/>
      <c r="K645" s="76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spans="1:26" ht="15.75" customHeight="1" x14ac:dyDescent="0.25">
      <c r="A646" s="62"/>
      <c r="B646" s="62"/>
      <c r="C646" s="76"/>
      <c r="D646" s="77"/>
      <c r="E646" s="62"/>
      <c r="F646" s="62"/>
      <c r="G646" s="76"/>
      <c r="H646" s="76"/>
      <c r="I646" s="76"/>
      <c r="J646" s="76"/>
      <c r="K646" s="76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spans="1:26" ht="15.75" customHeight="1" x14ac:dyDescent="0.25">
      <c r="A647" s="62"/>
      <c r="B647" s="62"/>
      <c r="C647" s="76"/>
      <c r="D647" s="77"/>
      <c r="E647" s="62"/>
      <c r="F647" s="62"/>
      <c r="G647" s="76"/>
      <c r="H647" s="76"/>
      <c r="I647" s="76"/>
      <c r="J647" s="76"/>
      <c r="K647" s="76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spans="1:26" ht="15.75" customHeight="1" x14ac:dyDescent="0.25">
      <c r="A648" s="62"/>
      <c r="B648" s="62"/>
      <c r="C648" s="76"/>
      <c r="D648" s="77"/>
      <c r="E648" s="62"/>
      <c r="F648" s="62"/>
      <c r="G648" s="76"/>
      <c r="H648" s="76"/>
      <c r="I648" s="76"/>
      <c r="J648" s="76"/>
      <c r="K648" s="76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spans="1:26" ht="15.75" customHeight="1" x14ac:dyDescent="0.25">
      <c r="A649" s="62"/>
      <c r="B649" s="62"/>
      <c r="C649" s="76"/>
      <c r="D649" s="77"/>
      <c r="E649" s="62"/>
      <c r="F649" s="62"/>
      <c r="G649" s="76"/>
      <c r="H649" s="76"/>
      <c r="I649" s="76"/>
      <c r="J649" s="76"/>
      <c r="K649" s="76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spans="1:26" ht="15.75" customHeight="1" x14ac:dyDescent="0.25">
      <c r="A650" s="62"/>
      <c r="B650" s="62"/>
      <c r="C650" s="76"/>
      <c r="D650" s="77"/>
      <c r="E650" s="62"/>
      <c r="F650" s="62"/>
      <c r="G650" s="76"/>
      <c r="H650" s="76"/>
      <c r="I650" s="76"/>
      <c r="J650" s="76"/>
      <c r="K650" s="76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spans="1:26" ht="15.75" customHeight="1" x14ac:dyDescent="0.25">
      <c r="A651" s="62"/>
      <c r="B651" s="62"/>
      <c r="C651" s="76"/>
      <c r="D651" s="77"/>
      <c r="E651" s="62"/>
      <c r="F651" s="62"/>
      <c r="G651" s="76"/>
      <c r="H651" s="76"/>
      <c r="I651" s="76"/>
      <c r="J651" s="76"/>
      <c r="K651" s="76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spans="1:26" ht="15.75" customHeight="1" x14ac:dyDescent="0.25">
      <c r="A652" s="62"/>
      <c r="B652" s="62"/>
      <c r="C652" s="76"/>
      <c r="D652" s="77"/>
      <c r="E652" s="62"/>
      <c r="F652" s="62"/>
      <c r="G652" s="76"/>
      <c r="H652" s="76"/>
      <c r="I652" s="76"/>
      <c r="J652" s="76"/>
      <c r="K652" s="76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spans="1:26" ht="15.75" customHeight="1" x14ac:dyDescent="0.25">
      <c r="A653" s="62"/>
      <c r="B653" s="62"/>
      <c r="C653" s="76"/>
      <c r="D653" s="77"/>
      <c r="E653" s="62"/>
      <c r="F653" s="62"/>
      <c r="G653" s="76"/>
      <c r="H653" s="76"/>
      <c r="I653" s="76"/>
      <c r="J653" s="76"/>
      <c r="K653" s="76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spans="1:26" ht="15.75" customHeight="1" x14ac:dyDescent="0.25">
      <c r="A654" s="62"/>
      <c r="B654" s="62"/>
      <c r="C654" s="76"/>
      <c r="D654" s="77"/>
      <c r="E654" s="62"/>
      <c r="F654" s="62"/>
      <c r="G654" s="76"/>
      <c r="H654" s="76"/>
      <c r="I654" s="76"/>
      <c r="J654" s="76"/>
      <c r="K654" s="76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spans="1:26" ht="15.75" customHeight="1" x14ac:dyDescent="0.25">
      <c r="A655" s="62"/>
      <c r="B655" s="62"/>
      <c r="C655" s="76"/>
      <c r="D655" s="77"/>
      <c r="E655" s="62"/>
      <c r="F655" s="62"/>
      <c r="G655" s="76"/>
      <c r="H655" s="76"/>
      <c r="I655" s="76"/>
      <c r="J655" s="76"/>
      <c r="K655" s="76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spans="1:26" ht="15.75" customHeight="1" x14ac:dyDescent="0.25">
      <c r="A656" s="62"/>
      <c r="B656" s="62"/>
      <c r="C656" s="76"/>
      <c r="D656" s="77"/>
      <c r="E656" s="62"/>
      <c r="F656" s="62"/>
      <c r="G656" s="76"/>
      <c r="H656" s="76"/>
      <c r="I656" s="76"/>
      <c r="J656" s="76"/>
      <c r="K656" s="76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spans="1:26" ht="15.75" customHeight="1" x14ac:dyDescent="0.25">
      <c r="A657" s="62"/>
      <c r="B657" s="62"/>
      <c r="C657" s="76"/>
      <c r="D657" s="77"/>
      <c r="E657" s="62"/>
      <c r="F657" s="62"/>
      <c r="G657" s="76"/>
      <c r="H657" s="76"/>
      <c r="I657" s="76"/>
      <c r="J657" s="76"/>
      <c r="K657" s="76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spans="1:26" ht="15.75" customHeight="1" x14ac:dyDescent="0.25">
      <c r="A658" s="62"/>
      <c r="B658" s="62"/>
      <c r="C658" s="76"/>
      <c r="D658" s="77"/>
      <c r="E658" s="62"/>
      <c r="F658" s="62"/>
      <c r="G658" s="76"/>
      <c r="H658" s="76"/>
      <c r="I658" s="76"/>
      <c r="J658" s="76"/>
      <c r="K658" s="76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spans="1:26" ht="15.75" customHeight="1" x14ac:dyDescent="0.25">
      <c r="A659" s="62"/>
      <c r="B659" s="62"/>
      <c r="C659" s="76"/>
      <c r="D659" s="77"/>
      <c r="E659" s="62"/>
      <c r="F659" s="62"/>
      <c r="G659" s="76"/>
      <c r="H659" s="76"/>
      <c r="I659" s="76"/>
      <c r="J659" s="76"/>
      <c r="K659" s="76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spans="1:26" ht="15.75" customHeight="1" x14ac:dyDescent="0.25">
      <c r="A660" s="62"/>
      <c r="B660" s="62"/>
      <c r="C660" s="76"/>
      <c r="D660" s="77"/>
      <c r="E660" s="62"/>
      <c r="F660" s="62"/>
      <c r="G660" s="76"/>
      <c r="H660" s="76"/>
      <c r="I660" s="76"/>
      <c r="J660" s="76"/>
      <c r="K660" s="76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spans="1:26" ht="15.75" customHeight="1" x14ac:dyDescent="0.25">
      <c r="A661" s="62"/>
      <c r="B661" s="62"/>
      <c r="C661" s="76"/>
      <c r="D661" s="77"/>
      <c r="E661" s="62"/>
      <c r="F661" s="62"/>
      <c r="G661" s="76"/>
      <c r="H661" s="76"/>
      <c r="I661" s="76"/>
      <c r="J661" s="76"/>
      <c r="K661" s="76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spans="1:26" ht="15.75" customHeight="1" x14ac:dyDescent="0.25">
      <c r="A662" s="62"/>
      <c r="B662" s="62"/>
      <c r="C662" s="76"/>
      <c r="D662" s="77"/>
      <c r="E662" s="62"/>
      <c r="F662" s="62"/>
      <c r="G662" s="76"/>
      <c r="H662" s="76"/>
      <c r="I662" s="76"/>
      <c r="J662" s="76"/>
      <c r="K662" s="76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spans="1:26" ht="15.75" customHeight="1" x14ac:dyDescent="0.25">
      <c r="A663" s="62"/>
      <c r="B663" s="62"/>
      <c r="C663" s="76"/>
      <c r="D663" s="77"/>
      <c r="E663" s="62"/>
      <c r="F663" s="62"/>
      <c r="G663" s="76"/>
      <c r="H663" s="76"/>
      <c r="I663" s="76"/>
      <c r="J663" s="76"/>
      <c r="K663" s="76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spans="1:26" ht="15.75" customHeight="1" x14ac:dyDescent="0.25">
      <c r="A664" s="62"/>
      <c r="B664" s="62"/>
      <c r="C664" s="76"/>
      <c r="D664" s="77"/>
      <c r="E664" s="62"/>
      <c r="F664" s="62"/>
      <c r="G664" s="76"/>
      <c r="H664" s="76"/>
      <c r="I664" s="76"/>
      <c r="J664" s="76"/>
      <c r="K664" s="76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spans="1:26" ht="15.75" customHeight="1" x14ac:dyDescent="0.25">
      <c r="A665" s="62"/>
      <c r="B665" s="62"/>
      <c r="C665" s="76"/>
      <c r="D665" s="77"/>
      <c r="E665" s="62"/>
      <c r="F665" s="62"/>
      <c r="G665" s="76"/>
      <c r="H665" s="76"/>
      <c r="I665" s="76"/>
      <c r="J665" s="76"/>
      <c r="K665" s="76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spans="1:26" ht="15.75" customHeight="1" x14ac:dyDescent="0.25">
      <c r="A666" s="62"/>
      <c r="B666" s="62"/>
      <c r="C666" s="76"/>
      <c r="D666" s="77"/>
      <c r="E666" s="62"/>
      <c r="F666" s="62"/>
      <c r="G666" s="76"/>
      <c r="H666" s="76"/>
      <c r="I666" s="76"/>
      <c r="J666" s="76"/>
      <c r="K666" s="76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spans="1:26" ht="15.75" customHeight="1" x14ac:dyDescent="0.25">
      <c r="A667" s="62"/>
      <c r="B667" s="62"/>
      <c r="C667" s="76"/>
      <c r="D667" s="77"/>
      <c r="E667" s="62"/>
      <c r="F667" s="62"/>
      <c r="G667" s="76"/>
      <c r="H667" s="76"/>
      <c r="I667" s="76"/>
      <c r="J667" s="76"/>
      <c r="K667" s="76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spans="1:26" ht="15.75" customHeight="1" x14ac:dyDescent="0.25">
      <c r="A668" s="62"/>
      <c r="B668" s="62"/>
      <c r="C668" s="76"/>
      <c r="D668" s="77"/>
      <c r="E668" s="62"/>
      <c r="F668" s="62"/>
      <c r="G668" s="76"/>
      <c r="H668" s="76"/>
      <c r="I668" s="76"/>
      <c r="J668" s="76"/>
      <c r="K668" s="76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spans="1:26" ht="15.75" customHeight="1" x14ac:dyDescent="0.25">
      <c r="A669" s="62"/>
      <c r="B669" s="62"/>
      <c r="C669" s="76"/>
      <c r="D669" s="77"/>
      <c r="E669" s="62"/>
      <c r="F669" s="62"/>
      <c r="G669" s="76"/>
      <c r="H669" s="76"/>
      <c r="I669" s="76"/>
      <c r="J669" s="76"/>
      <c r="K669" s="76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spans="1:26" ht="15.75" customHeight="1" x14ac:dyDescent="0.25">
      <c r="A670" s="62"/>
      <c r="B670" s="62"/>
      <c r="C670" s="76"/>
      <c r="D670" s="77"/>
      <c r="E670" s="62"/>
      <c r="F670" s="62"/>
      <c r="G670" s="76"/>
      <c r="H670" s="76"/>
      <c r="I670" s="76"/>
      <c r="J670" s="76"/>
      <c r="K670" s="76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spans="1:26" ht="15.75" customHeight="1" x14ac:dyDescent="0.25">
      <c r="A671" s="62"/>
      <c r="B671" s="62"/>
      <c r="C671" s="76"/>
      <c r="D671" s="77"/>
      <c r="E671" s="62"/>
      <c r="F671" s="62"/>
      <c r="G671" s="76"/>
      <c r="H671" s="76"/>
      <c r="I671" s="76"/>
      <c r="J671" s="76"/>
      <c r="K671" s="76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spans="1:26" ht="15.75" customHeight="1" x14ac:dyDescent="0.25">
      <c r="A672" s="62"/>
      <c r="B672" s="62"/>
      <c r="C672" s="76"/>
      <c r="D672" s="77"/>
      <c r="E672" s="62"/>
      <c r="F672" s="62"/>
      <c r="G672" s="76"/>
      <c r="H672" s="76"/>
      <c r="I672" s="76"/>
      <c r="J672" s="76"/>
      <c r="K672" s="76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spans="1:26" ht="15.75" customHeight="1" x14ac:dyDescent="0.25">
      <c r="A673" s="62"/>
      <c r="B673" s="62"/>
      <c r="C673" s="76"/>
      <c r="D673" s="77"/>
      <c r="E673" s="62"/>
      <c r="F673" s="62"/>
      <c r="G673" s="76"/>
      <c r="H673" s="76"/>
      <c r="I673" s="76"/>
      <c r="J673" s="76"/>
      <c r="K673" s="76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spans="1:26" ht="15.75" customHeight="1" x14ac:dyDescent="0.25">
      <c r="A674" s="62"/>
      <c r="B674" s="62"/>
      <c r="C674" s="76"/>
      <c r="D674" s="77"/>
      <c r="E674" s="62"/>
      <c r="F674" s="62"/>
      <c r="G674" s="76"/>
      <c r="H674" s="76"/>
      <c r="I674" s="76"/>
      <c r="J674" s="76"/>
      <c r="K674" s="76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spans="1:26" ht="15.75" customHeight="1" x14ac:dyDescent="0.25">
      <c r="A675" s="62"/>
      <c r="B675" s="62"/>
      <c r="C675" s="76"/>
      <c r="D675" s="77"/>
      <c r="E675" s="62"/>
      <c r="F675" s="62"/>
      <c r="G675" s="76"/>
      <c r="H675" s="76"/>
      <c r="I675" s="76"/>
      <c r="J675" s="76"/>
      <c r="K675" s="76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spans="1:26" ht="15.75" customHeight="1" x14ac:dyDescent="0.25">
      <c r="A676" s="62"/>
      <c r="B676" s="62"/>
      <c r="C676" s="76"/>
      <c r="D676" s="77"/>
      <c r="E676" s="62"/>
      <c r="F676" s="62"/>
      <c r="G676" s="76"/>
      <c r="H676" s="76"/>
      <c r="I676" s="76"/>
      <c r="J676" s="76"/>
      <c r="K676" s="76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spans="1:26" ht="15.75" customHeight="1" x14ac:dyDescent="0.25">
      <c r="A677" s="62"/>
      <c r="B677" s="62"/>
      <c r="C677" s="76"/>
      <c r="D677" s="77"/>
      <c r="E677" s="62"/>
      <c r="F677" s="62"/>
      <c r="G677" s="76"/>
      <c r="H677" s="76"/>
      <c r="I677" s="76"/>
      <c r="J677" s="76"/>
      <c r="K677" s="76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spans="1:26" ht="15.75" customHeight="1" x14ac:dyDescent="0.25">
      <c r="A678" s="62"/>
      <c r="B678" s="62"/>
      <c r="C678" s="76"/>
      <c r="D678" s="77"/>
      <c r="E678" s="62"/>
      <c r="F678" s="62"/>
      <c r="G678" s="76"/>
      <c r="H678" s="76"/>
      <c r="I678" s="76"/>
      <c r="J678" s="76"/>
      <c r="K678" s="76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spans="1:26" ht="15.75" customHeight="1" x14ac:dyDescent="0.25">
      <c r="A679" s="62"/>
      <c r="B679" s="62"/>
      <c r="C679" s="76"/>
      <c r="D679" s="77"/>
      <c r="E679" s="62"/>
      <c r="F679" s="62"/>
      <c r="G679" s="76"/>
      <c r="H679" s="76"/>
      <c r="I679" s="76"/>
      <c r="J679" s="76"/>
      <c r="K679" s="76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spans="1:26" ht="15.75" customHeight="1" x14ac:dyDescent="0.25">
      <c r="A680" s="62"/>
      <c r="B680" s="62"/>
      <c r="C680" s="76"/>
      <c r="D680" s="77"/>
      <c r="E680" s="62"/>
      <c r="F680" s="62"/>
      <c r="G680" s="76"/>
      <c r="H680" s="76"/>
      <c r="I680" s="76"/>
      <c r="J680" s="76"/>
      <c r="K680" s="76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spans="1:26" ht="15.75" customHeight="1" x14ac:dyDescent="0.25">
      <c r="A681" s="62"/>
      <c r="B681" s="62"/>
      <c r="C681" s="76"/>
      <c r="D681" s="77"/>
      <c r="E681" s="62"/>
      <c r="F681" s="62"/>
      <c r="G681" s="76"/>
      <c r="H681" s="76"/>
      <c r="I681" s="76"/>
      <c r="J681" s="76"/>
      <c r="K681" s="76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spans="1:26" ht="15.75" customHeight="1" x14ac:dyDescent="0.25">
      <c r="A682" s="62"/>
      <c r="B682" s="62"/>
      <c r="C682" s="76"/>
      <c r="D682" s="77"/>
      <c r="E682" s="62"/>
      <c r="F682" s="62"/>
      <c r="G682" s="76"/>
      <c r="H682" s="76"/>
      <c r="I682" s="76"/>
      <c r="J682" s="76"/>
      <c r="K682" s="76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spans="1:26" ht="15.75" customHeight="1" x14ac:dyDescent="0.25">
      <c r="A683" s="62"/>
      <c r="B683" s="62"/>
      <c r="C683" s="76"/>
      <c r="D683" s="77"/>
      <c r="E683" s="62"/>
      <c r="F683" s="62"/>
      <c r="G683" s="76"/>
      <c r="H683" s="76"/>
      <c r="I683" s="76"/>
      <c r="J683" s="76"/>
      <c r="K683" s="76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spans="1:26" ht="15.75" customHeight="1" x14ac:dyDescent="0.25">
      <c r="A684" s="62"/>
      <c r="B684" s="62"/>
      <c r="C684" s="76"/>
      <c r="D684" s="77"/>
      <c r="E684" s="62"/>
      <c r="F684" s="62"/>
      <c r="G684" s="76"/>
      <c r="H684" s="76"/>
      <c r="I684" s="76"/>
      <c r="J684" s="76"/>
      <c r="K684" s="76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spans="1:26" ht="15.75" customHeight="1" x14ac:dyDescent="0.25">
      <c r="A685" s="62"/>
      <c r="B685" s="62"/>
      <c r="C685" s="76"/>
      <c r="D685" s="77"/>
      <c r="E685" s="62"/>
      <c r="F685" s="62"/>
      <c r="G685" s="76"/>
      <c r="H685" s="76"/>
      <c r="I685" s="76"/>
      <c r="J685" s="76"/>
      <c r="K685" s="76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spans="1:26" ht="15.75" customHeight="1" x14ac:dyDescent="0.25">
      <c r="A686" s="62"/>
      <c r="B686" s="62"/>
      <c r="C686" s="76"/>
      <c r="D686" s="77"/>
      <c r="E686" s="62"/>
      <c r="F686" s="62"/>
      <c r="G686" s="76"/>
      <c r="H686" s="76"/>
      <c r="I686" s="76"/>
      <c r="J686" s="76"/>
      <c r="K686" s="76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spans="1:26" ht="15.75" customHeight="1" x14ac:dyDescent="0.25">
      <c r="A687" s="62"/>
      <c r="B687" s="62"/>
      <c r="C687" s="76"/>
      <c r="D687" s="77"/>
      <c r="E687" s="62"/>
      <c r="F687" s="62"/>
      <c r="G687" s="76"/>
      <c r="H687" s="76"/>
      <c r="I687" s="76"/>
      <c r="J687" s="76"/>
      <c r="K687" s="76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spans="1:26" ht="15.75" customHeight="1" x14ac:dyDescent="0.25">
      <c r="A688" s="62"/>
      <c r="B688" s="62"/>
      <c r="C688" s="76"/>
      <c r="D688" s="77"/>
      <c r="E688" s="62"/>
      <c r="F688" s="62"/>
      <c r="G688" s="76"/>
      <c r="H688" s="76"/>
      <c r="I688" s="76"/>
      <c r="J688" s="76"/>
      <c r="K688" s="76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spans="1:26" ht="15.75" customHeight="1" x14ac:dyDescent="0.25">
      <c r="A689" s="62"/>
      <c r="B689" s="62"/>
      <c r="C689" s="76"/>
      <c r="D689" s="77"/>
      <c r="E689" s="62"/>
      <c r="F689" s="62"/>
      <c r="G689" s="76"/>
      <c r="H689" s="76"/>
      <c r="I689" s="76"/>
      <c r="J689" s="76"/>
      <c r="K689" s="76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spans="1:26" ht="15.75" customHeight="1" x14ac:dyDescent="0.25">
      <c r="A690" s="62"/>
      <c r="B690" s="62"/>
      <c r="C690" s="76"/>
      <c r="D690" s="77"/>
      <c r="E690" s="62"/>
      <c r="F690" s="62"/>
      <c r="G690" s="76"/>
      <c r="H690" s="76"/>
      <c r="I690" s="76"/>
      <c r="J690" s="76"/>
      <c r="K690" s="76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spans="1:26" ht="15.75" customHeight="1" x14ac:dyDescent="0.25">
      <c r="A691" s="62"/>
      <c r="B691" s="62"/>
      <c r="C691" s="76"/>
      <c r="D691" s="77"/>
      <c r="E691" s="62"/>
      <c r="F691" s="62"/>
      <c r="G691" s="76"/>
      <c r="H691" s="76"/>
      <c r="I691" s="76"/>
      <c r="J691" s="76"/>
      <c r="K691" s="76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spans="1:26" ht="15.75" customHeight="1" x14ac:dyDescent="0.25">
      <c r="A692" s="62"/>
      <c r="B692" s="62"/>
      <c r="C692" s="76"/>
      <c r="D692" s="77"/>
      <c r="E692" s="62"/>
      <c r="F692" s="62"/>
      <c r="G692" s="76"/>
      <c r="H692" s="76"/>
      <c r="I692" s="76"/>
      <c r="J692" s="76"/>
      <c r="K692" s="76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spans="1:26" ht="15.75" customHeight="1" x14ac:dyDescent="0.25">
      <c r="A693" s="62"/>
      <c r="B693" s="62"/>
      <c r="C693" s="76"/>
      <c r="D693" s="77"/>
      <c r="E693" s="62"/>
      <c r="F693" s="62"/>
      <c r="G693" s="76"/>
      <c r="H693" s="76"/>
      <c r="I693" s="76"/>
      <c r="J693" s="76"/>
      <c r="K693" s="76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spans="1:26" ht="15.75" customHeight="1" x14ac:dyDescent="0.25">
      <c r="A694" s="62"/>
      <c r="B694" s="62"/>
      <c r="C694" s="76"/>
      <c r="D694" s="77"/>
      <c r="E694" s="62"/>
      <c r="F694" s="62"/>
      <c r="G694" s="76"/>
      <c r="H694" s="76"/>
      <c r="I694" s="76"/>
      <c r="J694" s="76"/>
      <c r="K694" s="76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spans="1:26" ht="15.75" customHeight="1" x14ac:dyDescent="0.25">
      <c r="A695" s="62"/>
      <c r="B695" s="62"/>
      <c r="C695" s="76"/>
      <c r="D695" s="77"/>
      <c r="E695" s="62"/>
      <c r="F695" s="62"/>
      <c r="G695" s="76"/>
      <c r="H695" s="76"/>
      <c r="I695" s="76"/>
      <c r="J695" s="76"/>
      <c r="K695" s="76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spans="1:26" ht="15.75" customHeight="1" x14ac:dyDescent="0.25">
      <c r="A696" s="62"/>
      <c r="B696" s="62"/>
      <c r="C696" s="76"/>
      <c r="D696" s="77"/>
      <c r="E696" s="62"/>
      <c r="F696" s="62"/>
      <c r="G696" s="76"/>
      <c r="H696" s="76"/>
      <c r="I696" s="76"/>
      <c r="J696" s="76"/>
      <c r="K696" s="76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spans="1:26" ht="15.75" customHeight="1" x14ac:dyDescent="0.25">
      <c r="A697" s="62"/>
      <c r="B697" s="62"/>
      <c r="C697" s="76"/>
      <c r="D697" s="77"/>
      <c r="E697" s="62"/>
      <c r="F697" s="62"/>
      <c r="G697" s="76"/>
      <c r="H697" s="76"/>
      <c r="I697" s="76"/>
      <c r="J697" s="76"/>
      <c r="K697" s="76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spans="1:26" ht="15.75" customHeight="1" x14ac:dyDescent="0.25">
      <c r="A698" s="62"/>
      <c r="B698" s="62"/>
      <c r="C698" s="76"/>
      <c r="D698" s="77"/>
      <c r="E698" s="62"/>
      <c r="F698" s="62"/>
      <c r="G698" s="76"/>
      <c r="H698" s="76"/>
      <c r="I698" s="76"/>
      <c r="J698" s="76"/>
      <c r="K698" s="76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spans="1:26" ht="15.75" customHeight="1" x14ac:dyDescent="0.25">
      <c r="A699" s="62"/>
      <c r="B699" s="62"/>
      <c r="C699" s="76"/>
      <c r="D699" s="77"/>
      <c r="E699" s="62"/>
      <c r="F699" s="62"/>
      <c r="G699" s="76"/>
      <c r="H699" s="76"/>
      <c r="I699" s="76"/>
      <c r="J699" s="76"/>
      <c r="K699" s="76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spans="1:26" ht="15.75" customHeight="1" x14ac:dyDescent="0.25">
      <c r="A700" s="62"/>
      <c r="B700" s="62"/>
      <c r="C700" s="76"/>
      <c r="D700" s="77"/>
      <c r="E700" s="62"/>
      <c r="F700" s="62"/>
      <c r="G700" s="76"/>
      <c r="H700" s="76"/>
      <c r="I700" s="76"/>
      <c r="J700" s="76"/>
      <c r="K700" s="76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spans="1:26" ht="15.75" customHeight="1" x14ac:dyDescent="0.25">
      <c r="A701" s="62"/>
      <c r="B701" s="62"/>
      <c r="C701" s="76"/>
      <c r="D701" s="77"/>
      <c r="E701" s="62"/>
      <c r="F701" s="62"/>
      <c r="G701" s="76"/>
      <c r="H701" s="76"/>
      <c r="I701" s="76"/>
      <c r="J701" s="76"/>
      <c r="K701" s="76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spans="1:26" ht="15.75" customHeight="1" x14ac:dyDescent="0.25">
      <c r="A702" s="62"/>
      <c r="B702" s="62"/>
      <c r="C702" s="76"/>
      <c r="D702" s="77"/>
      <c r="E702" s="62"/>
      <c r="F702" s="62"/>
      <c r="G702" s="76"/>
      <c r="H702" s="76"/>
      <c r="I702" s="76"/>
      <c r="J702" s="76"/>
      <c r="K702" s="76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spans="1:26" ht="15.75" customHeight="1" x14ac:dyDescent="0.25">
      <c r="A703" s="62"/>
      <c r="B703" s="62"/>
      <c r="C703" s="76"/>
      <c r="D703" s="77"/>
      <c r="E703" s="62"/>
      <c r="F703" s="62"/>
      <c r="G703" s="76"/>
      <c r="H703" s="76"/>
      <c r="I703" s="76"/>
      <c r="J703" s="76"/>
      <c r="K703" s="76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spans="1:26" ht="15.75" customHeight="1" x14ac:dyDescent="0.25">
      <c r="A704" s="62"/>
      <c r="B704" s="62"/>
      <c r="C704" s="76"/>
      <c r="D704" s="77"/>
      <c r="E704" s="62"/>
      <c r="F704" s="62"/>
      <c r="G704" s="76"/>
      <c r="H704" s="76"/>
      <c r="I704" s="76"/>
      <c r="J704" s="76"/>
      <c r="K704" s="76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spans="1:26" ht="15.75" customHeight="1" x14ac:dyDescent="0.25">
      <c r="A705" s="62"/>
      <c r="B705" s="62"/>
      <c r="C705" s="76"/>
      <c r="D705" s="77"/>
      <c r="E705" s="62"/>
      <c r="F705" s="62"/>
      <c r="G705" s="76"/>
      <c r="H705" s="76"/>
      <c r="I705" s="76"/>
      <c r="J705" s="76"/>
      <c r="K705" s="76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spans="1:26" ht="15.75" customHeight="1" x14ac:dyDescent="0.25">
      <c r="A706" s="62"/>
      <c r="B706" s="62"/>
      <c r="C706" s="76"/>
      <c r="D706" s="77"/>
      <c r="E706" s="62"/>
      <c r="F706" s="62"/>
      <c r="G706" s="76"/>
      <c r="H706" s="76"/>
      <c r="I706" s="76"/>
      <c r="J706" s="76"/>
      <c r="K706" s="76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spans="1:26" ht="15.75" customHeight="1" x14ac:dyDescent="0.25">
      <c r="A707" s="62"/>
      <c r="B707" s="62"/>
      <c r="C707" s="76"/>
      <c r="D707" s="77"/>
      <c r="E707" s="62"/>
      <c r="F707" s="62"/>
      <c r="G707" s="76"/>
      <c r="H707" s="76"/>
      <c r="I707" s="76"/>
      <c r="J707" s="76"/>
      <c r="K707" s="76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spans="1:26" ht="15.75" customHeight="1" x14ac:dyDescent="0.25">
      <c r="A708" s="62"/>
      <c r="B708" s="62"/>
      <c r="C708" s="76"/>
      <c r="D708" s="77"/>
      <c r="E708" s="62"/>
      <c r="F708" s="62"/>
      <c r="G708" s="76"/>
      <c r="H708" s="76"/>
      <c r="I708" s="76"/>
      <c r="J708" s="76"/>
      <c r="K708" s="76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spans="1:26" ht="15.75" customHeight="1" x14ac:dyDescent="0.25">
      <c r="A709" s="62"/>
      <c r="B709" s="62"/>
      <c r="C709" s="76"/>
      <c r="D709" s="77"/>
      <c r="E709" s="62"/>
      <c r="F709" s="62"/>
      <c r="G709" s="76"/>
      <c r="H709" s="76"/>
      <c r="I709" s="76"/>
      <c r="J709" s="76"/>
      <c r="K709" s="76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spans="1:26" ht="15.75" customHeight="1" x14ac:dyDescent="0.25">
      <c r="A710" s="62"/>
      <c r="B710" s="62"/>
      <c r="C710" s="76"/>
      <c r="D710" s="77"/>
      <c r="E710" s="62"/>
      <c r="F710" s="62"/>
      <c r="G710" s="76"/>
      <c r="H710" s="76"/>
      <c r="I710" s="76"/>
      <c r="J710" s="76"/>
      <c r="K710" s="76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spans="1:26" ht="15.75" customHeight="1" x14ac:dyDescent="0.25">
      <c r="A711" s="62"/>
      <c r="B711" s="62"/>
      <c r="C711" s="76"/>
      <c r="D711" s="77"/>
      <c r="E711" s="62"/>
      <c r="F711" s="62"/>
      <c r="G711" s="76"/>
      <c r="H711" s="76"/>
      <c r="I711" s="76"/>
      <c r="J711" s="76"/>
      <c r="K711" s="76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spans="1:26" ht="15.75" customHeight="1" x14ac:dyDescent="0.25">
      <c r="A712" s="62"/>
      <c r="B712" s="62"/>
      <c r="C712" s="76"/>
      <c r="D712" s="77"/>
      <c r="E712" s="62"/>
      <c r="F712" s="62"/>
      <c r="G712" s="76"/>
      <c r="H712" s="76"/>
      <c r="I712" s="76"/>
      <c r="J712" s="76"/>
      <c r="K712" s="76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spans="1:26" ht="15.75" customHeight="1" x14ac:dyDescent="0.25">
      <c r="A713" s="62"/>
      <c r="B713" s="62"/>
      <c r="C713" s="76"/>
      <c r="D713" s="77"/>
      <c r="E713" s="62"/>
      <c r="F713" s="62"/>
      <c r="G713" s="76"/>
      <c r="H713" s="76"/>
      <c r="I713" s="76"/>
      <c r="J713" s="76"/>
      <c r="K713" s="76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spans="1:26" ht="15.75" customHeight="1" x14ac:dyDescent="0.25">
      <c r="A714" s="62"/>
      <c r="B714" s="62"/>
      <c r="C714" s="76"/>
      <c r="D714" s="77"/>
      <c r="E714" s="62"/>
      <c r="F714" s="62"/>
      <c r="G714" s="76"/>
      <c r="H714" s="76"/>
      <c r="I714" s="76"/>
      <c r="J714" s="76"/>
      <c r="K714" s="76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spans="1:26" ht="15.75" customHeight="1" x14ac:dyDescent="0.25">
      <c r="A715" s="62"/>
      <c r="B715" s="62"/>
      <c r="C715" s="76"/>
      <c r="D715" s="77"/>
      <c r="E715" s="62"/>
      <c r="F715" s="62"/>
      <c r="G715" s="76"/>
      <c r="H715" s="76"/>
      <c r="I715" s="76"/>
      <c r="J715" s="76"/>
      <c r="K715" s="76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spans="1:26" ht="15.75" customHeight="1" x14ac:dyDescent="0.25">
      <c r="A716" s="62"/>
      <c r="B716" s="62"/>
      <c r="C716" s="76"/>
      <c r="D716" s="77"/>
      <c r="E716" s="62"/>
      <c r="F716" s="62"/>
      <c r="G716" s="76"/>
      <c r="H716" s="76"/>
      <c r="I716" s="76"/>
      <c r="J716" s="76"/>
      <c r="K716" s="76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spans="1:26" ht="15.75" customHeight="1" x14ac:dyDescent="0.25">
      <c r="A717" s="62"/>
      <c r="B717" s="62"/>
      <c r="C717" s="76"/>
      <c r="D717" s="77"/>
      <c r="E717" s="62"/>
      <c r="F717" s="62"/>
      <c r="G717" s="76"/>
      <c r="H717" s="76"/>
      <c r="I717" s="76"/>
      <c r="J717" s="76"/>
      <c r="K717" s="76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spans="1:26" ht="15.75" customHeight="1" x14ac:dyDescent="0.25">
      <c r="A718" s="62"/>
      <c r="B718" s="62"/>
      <c r="C718" s="76"/>
      <c r="D718" s="77"/>
      <c r="E718" s="62"/>
      <c r="F718" s="62"/>
      <c r="G718" s="76"/>
      <c r="H718" s="76"/>
      <c r="I718" s="76"/>
      <c r="J718" s="76"/>
      <c r="K718" s="76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spans="1:26" ht="15.75" customHeight="1" x14ac:dyDescent="0.25">
      <c r="A719" s="62"/>
      <c r="B719" s="62"/>
      <c r="C719" s="76"/>
      <c r="D719" s="77"/>
      <c r="E719" s="62"/>
      <c r="F719" s="62"/>
      <c r="G719" s="76"/>
      <c r="H719" s="76"/>
      <c r="I719" s="76"/>
      <c r="J719" s="76"/>
      <c r="K719" s="76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spans="1:26" ht="15.75" customHeight="1" x14ac:dyDescent="0.25">
      <c r="A720" s="62"/>
      <c r="B720" s="62"/>
      <c r="C720" s="76"/>
      <c r="D720" s="77"/>
      <c r="E720" s="62"/>
      <c r="F720" s="62"/>
      <c r="G720" s="76"/>
      <c r="H720" s="76"/>
      <c r="I720" s="76"/>
      <c r="J720" s="76"/>
      <c r="K720" s="76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spans="1:26" ht="15.75" customHeight="1" x14ac:dyDescent="0.25">
      <c r="A721" s="62"/>
      <c r="B721" s="62"/>
      <c r="C721" s="76"/>
      <c r="D721" s="77"/>
      <c r="E721" s="62"/>
      <c r="F721" s="62"/>
      <c r="G721" s="76"/>
      <c r="H721" s="76"/>
      <c r="I721" s="76"/>
      <c r="J721" s="76"/>
      <c r="K721" s="76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spans="1:26" ht="15.75" customHeight="1" x14ac:dyDescent="0.25">
      <c r="A722" s="62"/>
      <c r="B722" s="62"/>
      <c r="C722" s="76"/>
      <c r="D722" s="77"/>
      <c r="E722" s="62"/>
      <c r="F722" s="62"/>
      <c r="G722" s="76"/>
      <c r="H722" s="76"/>
      <c r="I722" s="76"/>
      <c r="J722" s="76"/>
      <c r="K722" s="76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spans="1:26" ht="15.75" customHeight="1" x14ac:dyDescent="0.25">
      <c r="A723" s="62"/>
      <c r="B723" s="62"/>
      <c r="C723" s="76"/>
      <c r="D723" s="77"/>
      <c r="E723" s="62"/>
      <c r="F723" s="62"/>
      <c r="G723" s="76"/>
      <c r="H723" s="76"/>
      <c r="I723" s="76"/>
      <c r="J723" s="76"/>
      <c r="K723" s="76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spans="1:26" ht="15.75" customHeight="1" x14ac:dyDescent="0.25">
      <c r="A724" s="62"/>
      <c r="B724" s="62"/>
      <c r="C724" s="76"/>
      <c r="D724" s="77"/>
      <c r="E724" s="62"/>
      <c r="F724" s="62"/>
      <c r="G724" s="76"/>
      <c r="H724" s="76"/>
      <c r="I724" s="76"/>
      <c r="J724" s="76"/>
      <c r="K724" s="76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spans="1:26" ht="15.75" customHeight="1" x14ac:dyDescent="0.25">
      <c r="A725" s="62"/>
      <c r="B725" s="62"/>
      <c r="C725" s="76"/>
      <c r="D725" s="77"/>
      <c r="E725" s="62"/>
      <c r="F725" s="62"/>
      <c r="G725" s="76"/>
      <c r="H725" s="76"/>
      <c r="I725" s="76"/>
      <c r="J725" s="76"/>
      <c r="K725" s="76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spans="1:26" ht="15.75" customHeight="1" x14ac:dyDescent="0.25">
      <c r="A726" s="62"/>
      <c r="B726" s="62"/>
      <c r="C726" s="76"/>
      <c r="D726" s="77"/>
      <c r="E726" s="62"/>
      <c r="F726" s="62"/>
      <c r="G726" s="76"/>
      <c r="H726" s="76"/>
      <c r="I726" s="76"/>
      <c r="J726" s="76"/>
      <c r="K726" s="76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spans="1:26" ht="15.75" customHeight="1" x14ac:dyDescent="0.25">
      <c r="A727" s="62"/>
      <c r="B727" s="62"/>
      <c r="C727" s="76"/>
      <c r="D727" s="77"/>
      <c r="E727" s="62"/>
      <c r="F727" s="62"/>
      <c r="G727" s="76"/>
      <c r="H727" s="76"/>
      <c r="I727" s="76"/>
      <c r="J727" s="76"/>
      <c r="K727" s="76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spans="1:26" ht="15.75" customHeight="1" x14ac:dyDescent="0.25">
      <c r="A728" s="62"/>
      <c r="B728" s="62"/>
      <c r="C728" s="76"/>
      <c r="D728" s="77"/>
      <c r="E728" s="62"/>
      <c r="F728" s="62"/>
      <c r="G728" s="76"/>
      <c r="H728" s="76"/>
      <c r="I728" s="76"/>
      <c r="J728" s="76"/>
      <c r="K728" s="76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spans="1:26" ht="15.75" customHeight="1" x14ac:dyDescent="0.25">
      <c r="A729" s="62"/>
      <c r="B729" s="62"/>
      <c r="C729" s="76"/>
      <c r="D729" s="77"/>
      <c r="E729" s="62"/>
      <c r="F729" s="62"/>
      <c r="G729" s="76"/>
      <c r="H729" s="76"/>
      <c r="I729" s="76"/>
      <c r="J729" s="76"/>
      <c r="K729" s="76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spans="1:26" ht="15.75" customHeight="1" x14ac:dyDescent="0.25">
      <c r="A730" s="62"/>
      <c r="B730" s="62"/>
      <c r="C730" s="76"/>
      <c r="D730" s="77"/>
      <c r="E730" s="62"/>
      <c r="F730" s="62"/>
      <c r="G730" s="76"/>
      <c r="H730" s="76"/>
      <c r="I730" s="76"/>
      <c r="J730" s="76"/>
      <c r="K730" s="76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spans="1:26" ht="15.75" customHeight="1" x14ac:dyDescent="0.25">
      <c r="A731" s="62"/>
      <c r="B731" s="62"/>
      <c r="C731" s="76"/>
      <c r="D731" s="77"/>
      <c r="E731" s="62"/>
      <c r="F731" s="62"/>
      <c r="G731" s="76"/>
      <c r="H731" s="76"/>
      <c r="I731" s="76"/>
      <c r="J731" s="76"/>
      <c r="K731" s="76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spans="1:26" ht="15.75" customHeight="1" x14ac:dyDescent="0.25">
      <c r="A732" s="62"/>
      <c r="B732" s="62"/>
      <c r="C732" s="76"/>
      <c r="D732" s="77"/>
      <c r="E732" s="62"/>
      <c r="F732" s="62"/>
      <c r="G732" s="76"/>
      <c r="H732" s="76"/>
      <c r="I732" s="76"/>
      <c r="J732" s="76"/>
      <c r="K732" s="76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spans="1:26" ht="15.75" customHeight="1" x14ac:dyDescent="0.25">
      <c r="A733" s="62"/>
      <c r="B733" s="62"/>
      <c r="C733" s="76"/>
      <c r="D733" s="77"/>
      <c r="E733" s="62"/>
      <c r="F733" s="62"/>
      <c r="G733" s="76"/>
      <c r="H733" s="76"/>
      <c r="I733" s="76"/>
      <c r="J733" s="76"/>
      <c r="K733" s="76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spans="1:26" ht="15.75" customHeight="1" x14ac:dyDescent="0.25">
      <c r="A734" s="62"/>
      <c r="B734" s="62"/>
      <c r="C734" s="76"/>
      <c r="D734" s="77"/>
      <c r="E734" s="62"/>
      <c r="F734" s="62"/>
      <c r="G734" s="76"/>
      <c r="H734" s="76"/>
      <c r="I734" s="76"/>
      <c r="J734" s="76"/>
      <c r="K734" s="76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spans="1:26" ht="15.75" customHeight="1" x14ac:dyDescent="0.25">
      <c r="A735" s="62"/>
      <c r="B735" s="62"/>
      <c r="C735" s="76"/>
      <c r="D735" s="77"/>
      <c r="E735" s="62"/>
      <c r="F735" s="62"/>
      <c r="G735" s="76"/>
      <c r="H735" s="76"/>
      <c r="I735" s="76"/>
      <c r="J735" s="76"/>
      <c r="K735" s="76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spans="1:26" ht="15.75" customHeight="1" x14ac:dyDescent="0.25">
      <c r="A736" s="62"/>
      <c r="B736" s="62"/>
      <c r="C736" s="76"/>
      <c r="D736" s="77"/>
      <c r="E736" s="62"/>
      <c r="F736" s="62"/>
      <c r="G736" s="76"/>
      <c r="H736" s="76"/>
      <c r="I736" s="76"/>
      <c r="J736" s="76"/>
      <c r="K736" s="76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spans="1:26" ht="15.75" customHeight="1" x14ac:dyDescent="0.25">
      <c r="A737" s="62"/>
      <c r="B737" s="62"/>
      <c r="C737" s="76"/>
      <c r="D737" s="77"/>
      <c r="E737" s="62"/>
      <c r="F737" s="62"/>
      <c r="G737" s="76"/>
      <c r="H737" s="76"/>
      <c r="I737" s="76"/>
      <c r="J737" s="76"/>
      <c r="K737" s="76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spans="1:26" ht="15.75" customHeight="1" x14ac:dyDescent="0.25">
      <c r="A738" s="62"/>
      <c r="B738" s="62"/>
      <c r="C738" s="76"/>
      <c r="D738" s="77"/>
      <c r="E738" s="62"/>
      <c r="F738" s="62"/>
      <c r="G738" s="76"/>
      <c r="H738" s="76"/>
      <c r="I738" s="76"/>
      <c r="J738" s="76"/>
      <c r="K738" s="76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spans="1:26" ht="15.75" customHeight="1" x14ac:dyDescent="0.25">
      <c r="A739" s="62"/>
      <c r="B739" s="62"/>
      <c r="C739" s="76"/>
      <c r="D739" s="77"/>
      <c r="E739" s="62"/>
      <c r="F739" s="62"/>
      <c r="G739" s="76"/>
      <c r="H739" s="76"/>
      <c r="I739" s="76"/>
      <c r="J739" s="76"/>
      <c r="K739" s="76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spans="1:26" ht="15.75" customHeight="1" x14ac:dyDescent="0.25">
      <c r="A740" s="62"/>
      <c r="B740" s="62"/>
      <c r="C740" s="76"/>
      <c r="D740" s="77"/>
      <c r="E740" s="62"/>
      <c r="F740" s="62"/>
      <c r="G740" s="76"/>
      <c r="H740" s="76"/>
      <c r="I740" s="76"/>
      <c r="J740" s="76"/>
      <c r="K740" s="76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spans="1:26" ht="15.75" customHeight="1" x14ac:dyDescent="0.25">
      <c r="A741" s="62"/>
      <c r="B741" s="62"/>
      <c r="C741" s="76"/>
      <c r="D741" s="77"/>
      <c r="E741" s="62"/>
      <c r="F741" s="62"/>
      <c r="G741" s="76"/>
      <c r="H741" s="76"/>
      <c r="I741" s="76"/>
      <c r="J741" s="76"/>
      <c r="K741" s="76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spans="1:26" ht="15.75" customHeight="1" x14ac:dyDescent="0.25">
      <c r="A742" s="62"/>
      <c r="B742" s="62"/>
      <c r="C742" s="76"/>
      <c r="D742" s="77"/>
      <c r="E742" s="62"/>
      <c r="F742" s="62"/>
      <c r="G742" s="76"/>
      <c r="H742" s="76"/>
      <c r="I742" s="76"/>
      <c r="J742" s="76"/>
      <c r="K742" s="76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spans="1:26" ht="15.75" customHeight="1" x14ac:dyDescent="0.25">
      <c r="A743" s="62"/>
      <c r="B743" s="62"/>
      <c r="C743" s="76"/>
      <c r="D743" s="77"/>
      <c r="E743" s="62"/>
      <c r="F743" s="62"/>
      <c r="G743" s="76"/>
      <c r="H743" s="76"/>
      <c r="I743" s="76"/>
      <c r="J743" s="76"/>
      <c r="K743" s="76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spans="1:26" ht="15.75" customHeight="1" x14ac:dyDescent="0.25">
      <c r="A744" s="62"/>
      <c r="B744" s="62"/>
      <c r="C744" s="76"/>
      <c r="D744" s="77"/>
      <c r="E744" s="62"/>
      <c r="F744" s="62"/>
      <c r="G744" s="76"/>
      <c r="H744" s="76"/>
      <c r="I744" s="76"/>
      <c r="J744" s="76"/>
      <c r="K744" s="76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spans="1:26" ht="15.75" customHeight="1" x14ac:dyDescent="0.25">
      <c r="A745" s="62"/>
      <c r="B745" s="62"/>
      <c r="C745" s="76"/>
      <c r="D745" s="77"/>
      <c r="E745" s="62"/>
      <c r="F745" s="62"/>
      <c r="G745" s="76"/>
      <c r="H745" s="76"/>
      <c r="I745" s="76"/>
      <c r="J745" s="76"/>
      <c r="K745" s="76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spans="1:26" ht="15.75" customHeight="1" x14ac:dyDescent="0.25">
      <c r="A746" s="62"/>
      <c r="B746" s="62"/>
      <c r="C746" s="76"/>
      <c r="D746" s="77"/>
      <c r="E746" s="62"/>
      <c r="F746" s="62"/>
      <c r="G746" s="76"/>
      <c r="H746" s="76"/>
      <c r="I746" s="76"/>
      <c r="J746" s="76"/>
      <c r="K746" s="76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spans="1:26" ht="15.75" customHeight="1" x14ac:dyDescent="0.25">
      <c r="A747" s="62"/>
      <c r="B747" s="62"/>
      <c r="C747" s="76"/>
      <c r="D747" s="77"/>
      <c r="E747" s="62"/>
      <c r="F747" s="62"/>
      <c r="G747" s="76"/>
      <c r="H747" s="76"/>
      <c r="I747" s="76"/>
      <c r="J747" s="76"/>
      <c r="K747" s="76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spans="1:26" ht="15.75" customHeight="1" x14ac:dyDescent="0.25">
      <c r="A748" s="62"/>
      <c r="B748" s="62"/>
      <c r="C748" s="76"/>
      <c r="D748" s="77"/>
      <c r="E748" s="62"/>
      <c r="F748" s="62"/>
      <c r="G748" s="76"/>
      <c r="H748" s="76"/>
      <c r="I748" s="76"/>
      <c r="J748" s="76"/>
      <c r="K748" s="76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spans="1:26" ht="15.75" customHeight="1" x14ac:dyDescent="0.25">
      <c r="A749" s="62"/>
      <c r="B749" s="62"/>
      <c r="C749" s="76"/>
      <c r="D749" s="77"/>
      <c r="E749" s="62"/>
      <c r="F749" s="62"/>
      <c r="G749" s="76"/>
      <c r="H749" s="76"/>
      <c r="I749" s="76"/>
      <c r="J749" s="76"/>
      <c r="K749" s="76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spans="1:26" ht="15.75" customHeight="1" x14ac:dyDescent="0.25">
      <c r="A750" s="62"/>
      <c r="B750" s="62"/>
      <c r="C750" s="76"/>
      <c r="D750" s="77"/>
      <c r="E750" s="62"/>
      <c r="F750" s="62"/>
      <c r="G750" s="76"/>
      <c r="H750" s="76"/>
      <c r="I750" s="76"/>
      <c r="J750" s="76"/>
      <c r="K750" s="76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spans="1:26" ht="15.75" customHeight="1" x14ac:dyDescent="0.25">
      <c r="A751" s="62"/>
      <c r="B751" s="62"/>
      <c r="C751" s="76"/>
      <c r="D751" s="77"/>
      <c r="E751" s="62"/>
      <c r="F751" s="62"/>
      <c r="G751" s="76"/>
      <c r="H751" s="76"/>
      <c r="I751" s="76"/>
      <c r="J751" s="76"/>
      <c r="K751" s="76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spans="1:26" ht="15.75" customHeight="1" x14ac:dyDescent="0.25">
      <c r="A752" s="62"/>
      <c r="B752" s="62"/>
      <c r="C752" s="76"/>
      <c r="D752" s="77"/>
      <c r="E752" s="62"/>
      <c r="F752" s="62"/>
      <c r="G752" s="76"/>
      <c r="H752" s="76"/>
      <c r="I752" s="76"/>
      <c r="J752" s="76"/>
      <c r="K752" s="76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spans="1:26" ht="15.75" customHeight="1" x14ac:dyDescent="0.25">
      <c r="A753" s="62"/>
      <c r="B753" s="62"/>
      <c r="C753" s="76"/>
      <c r="D753" s="77"/>
      <c r="E753" s="62"/>
      <c r="F753" s="62"/>
      <c r="G753" s="76"/>
      <c r="H753" s="76"/>
      <c r="I753" s="76"/>
      <c r="J753" s="76"/>
      <c r="K753" s="76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spans="1:26" ht="15.75" customHeight="1" x14ac:dyDescent="0.25">
      <c r="A754" s="62"/>
      <c r="B754" s="62"/>
      <c r="C754" s="76"/>
      <c r="D754" s="77"/>
      <c r="E754" s="62"/>
      <c r="F754" s="62"/>
      <c r="G754" s="76"/>
      <c r="H754" s="76"/>
      <c r="I754" s="76"/>
      <c r="J754" s="76"/>
      <c r="K754" s="76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spans="1:26" ht="15.75" customHeight="1" x14ac:dyDescent="0.25">
      <c r="A755" s="62"/>
      <c r="B755" s="62"/>
      <c r="C755" s="76"/>
      <c r="D755" s="77"/>
      <c r="E755" s="62"/>
      <c r="F755" s="62"/>
      <c r="G755" s="76"/>
      <c r="H755" s="76"/>
      <c r="I755" s="76"/>
      <c r="J755" s="76"/>
      <c r="K755" s="76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spans="1:26" ht="15.75" customHeight="1" x14ac:dyDescent="0.25">
      <c r="A756" s="62"/>
      <c r="B756" s="62"/>
      <c r="C756" s="76"/>
      <c r="D756" s="77"/>
      <c r="E756" s="62"/>
      <c r="F756" s="62"/>
      <c r="G756" s="76"/>
      <c r="H756" s="76"/>
      <c r="I756" s="76"/>
      <c r="J756" s="76"/>
      <c r="K756" s="76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spans="1:26" ht="15.75" customHeight="1" x14ac:dyDescent="0.25">
      <c r="A757" s="62"/>
      <c r="B757" s="62"/>
      <c r="C757" s="76"/>
      <c r="D757" s="77"/>
      <c r="E757" s="62"/>
      <c r="F757" s="62"/>
      <c r="G757" s="76"/>
      <c r="H757" s="76"/>
      <c r="I757" s="76"/>
      <c r="J757" s="76"/>
      <c r="K757" s="76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spans="1:26" ht="15.75" customHeight="1" x14ac:dyDescent="0.25">
      <c r="A758" s="62"/>
      <c r="B758" s="62"/>
      <c r="C758" s="76"/>
      <c r="D758" s="77"/>
      <c r="E758" s="62"/>
      <c r="F758" s="62"/>
      <c r="G758" s="76"/>
      <c r="H758" s="76"/>
      <c r="I758" s="76"/>
      <c r="J758" s="76"/>
      <c r="K758" s="76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spans="1:26" ht="15.75" customHeight="1" x14ac:dyDescent="0.25">
      <c r="A759" s="62"/>
      <c r="B759" s="62"/>
      <c r="C759" s="76"/>
      <c r="D759" s="77"/>
      <c r="E759" s="62"/>
      <c r="F759" s="62"/>
      <c r="G759" s="76"/>
      <c r="H759" s="76"/>
      <c r="I759" s="76"/>
      <c r="J759" s="76"/>
      <c r="K759" s="76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spans="1:26" ht="15.75" customHeight="1" x14ac:dyDescent="0.25">
      <c r="A760" s="62"/>
      <c r="B760" s="62"/>
      <c r="C760" s="76"/>
      <c r="D760" s="77"/>
      <c r="E760" s="62"/>
      <c r="F760" s="62"/>
      <c r="G760" s="76"/>
      <c r="H760" s="76"/>
      <c r="I760" s="76"/>
      <c r="J760" s="76"/>
      <c r="K760" s="76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spans="1:26" ht="15.75" customHeight="1" x14ac:dyDescent="0.25">
      <c r="A761" s="62"/>
      <c r="B761" s="62"/>
      <c r="C761" s="76"/>
      <c r="D761" s="77"/>
      <c r="E761" s="62"/>
      <c r="F761" s="62"/>
      <c r="G761" s="76"/>
      <c r="H761" s="76"/>
      <c r="I761" s="76"/>
      <c r="J761" s="76"/>
      <c r="K761" s="76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spans="1:26" ht="15.75" customHeight="1" x14ac:dyDescent="0.25">
      <c r="A762" s="62"/>
      <c r="B762" s="62"/>
      <c r="C762" s="76"/>
      <c r="D762" s="77"/>
      <c r="E762" s="62"/>
      <c r="F762" s="62"/>
      <c r="G762" s="76"/>
      <c r="H762" s="76"/>
      <c r="I762" s="76"/>
      <c r="J762" s="76"/>
      <c r="K762" s="76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spans="1:26" ht="15.75" customHeight="1" x14ac:dyDescent="0.25">
      <c r="A763" s="62"/>
      <c r="B763" s="62"/>
      <c r="C763" s="76"/>
      <c r="D763" s="77"/>
      <c r="E763" s="62"/>
      <c r="F763" s="62"/>
      <c r="G763" s="76"/>
      <c r="H763" s="76"/>
      <c r="I763" s="76"/>
      <c r="J763" s="76"/>
      <c r="K763" s="76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spans="1:26" ht="15.75" customHeight="1" x14ac:dyDescent="0.25">
      <c r="A764" s="62"/>
      <c r="B764" s="62"/>
      <c r="C764" s="76"/>
      <c r="D764" s="77"/>
      <c r="E764" s="62"/>
      <c r="F764" s="62"/>
      <c r="G764" s="76"/>
      <c r="H764" s="76"/>
      <c r="I764" s="76"/>
      <c r="J764" s="76"/>
      <c r="K764" s="76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spans="1:26" ht="15.75" customHeight="1" x14ac:dyDescent="0.25">
      <c r="A765" s="62"/>
      <c r="B765" s="62"/>
      <c r="C765" s="76"/>
      <c r="D765" s="77"/>
      <c r="E765" s="62"/>
      <c r="F765" s="62"/>
      <c r="G765" s="76"/>
      <c r="H765" s="76"/>
      <c r="I765" s="76"/>
      <c r="J765" s="76"/>
      <c r="K765" s="76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spans="1:26" ht="15.75" customHeight="1" x14ac:dyDescent="0.25">
      <c r="A766" s="62"/>
      <c r="B766" s="62"/>
      <c r="C766" s="76"/>
      <c r="D766" s="77"/>
      <c r="E766" s="62"/>
      <c r="F766" s="62"/>
      <c r="G766" s="76"/>
      <c r="H766" s="76"/>
      <c r="I766" s="76"/>
      <c r="J766" s="76"/>
      <c r="K766" s="76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spans="1:26" ht="15.75" customHeight="1" x14ac:dyDescent="0.25">
      <c r="A767" s="62"/>
      <c r="B767" s="62"/>
      <c r="C767" s="76"/>
      <c r="D767" s="77"/>
      <c r="E767" s="62"/>
      <c r="F767" s="62"/>
      <c r="G767" s="76"/>
      <c r="H767" s="76"/>
      <c r="I767" s="76"/>
      <c r="J767" s="76"/>
      <c r="K767" s="76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spans="1:26" ht="15.75" customHeight="1" x14ac:dyDescent="0.25">
      <c r="A768" s="62"/>
      <c r="B768" s="62"/>
      <c r="C768" s="76"/>
      <c r="D768" s="77"/>
      <c r="E768" s="62"/>
      <c r="F768" s="62"/>
      <c r="G768" s="76"/>
      <c r="H768" s="76"/>
      <c r="I768" s="76"/>
      <c r="J768" s="76"/>
      <c r="K768" s="76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spans="1:26" ht="15.75" customHeight="1" x14ac:dyDescent="0.25">
      <c r="A769" s="62"/>
      <c r="B769" s="62"/>
      <c r="C769" s="76"/>
      <c r="D769" s="77"/>
      <c r="E769" s="62"/>
      <c r="F769" s="62"/>
      <c r="G769" s="76"/>
      <c r="H769" s="76"/>
      <c r="I769" s="76"/>
      <c r="J769" s="76"/>
      <c r="K769" s="76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spans="1:26" ht="15.75" customHeight="1" x14ac:dyDescent="0.25">
      <c r="A770" s="62"/>
      <c r="B770" s="62"/>
      <c r="C770" s="76"/>
      <c r="D770" s="77"/>
      <c r="E770" s="62"/>
      <c r="F770" s="62"/>
      <c r="G770" s="76"/>
      <c r="H770" s="76"/>
      <c r="I770" s="76"/>
      <c r="J770" s="76"/>
      <c r="K770" s="76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spans="1:26" ht="15.75" customHeight="1" x14ac:dyDescent="0.25">
      <c r="A771" s="62"/>
      <c r="B771" s="62"/>
      <c r="C771" s="76"/>
      <c r="D771" s="77"/>
      <c r="E771" s="62"/>
      <c r="F771" s="62"/>
      <c r="G771" s="76"/>
      <c r="H771" s="76"/>
      <c r="I771" s="76"/>
      <c r="J771" s="76"/>
      <c r="K771" s="76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spans="1:26" ht="15.75" customHeight="1" x14ac:dyDescent="0.25">
      <c r="A772" s="62"/>
      <c r="B772" s="62"/>
      <c r="C772" s="76"/>
      <c r="D772" s="77"/>
      <c r="E772" s="62"/>
      <c r="F772" s="62"/>
      <c r="G772" s="76"/>
      <c r="H772" s="76"/>
      <c r="I772" s="76"/>
      <c r="J772" s="76"/>
      <c r="K772" s="76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spans="1:26" ht="15.75" customHeight="1" x14ac:dyDescent="0.25">
      <c r="A773" s="62"/>
      <c r="B773" s="62"/>
      <c r="C773" s="76"/>
      <c r="D773" s="77"/>
      <c r="E773" s="62"/>
      <c r="F773" s="62"/>
      <c r="G773" s="76"/>
      <c r="H773" s="76"/>
      <c r="I773" s="76"/>
      <c r="J773" s="76"/>
      <c r="K773" s="76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spans="1:26" ht="15.75" customHeight="1" x14ac:dyDescent="0.25">
      <c r="A774" s="62"/>
      <c r="B774" s="62"/>
      <c r="C774" s="76"/>
      <c r="D774" s="77"/>
      <c r="E774" s="62"/>
      <c r="F774" s="62"/>
      <c r="G774" s="76"/>
      <c r="H774" s="76"/>
      <c r="I774" s="76"/>
      <c r="J774" s="76"/>
      <c r="K774" s="76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spans="1:26" ht="15.75" customHeight="1" x14ac:dyDescent="0.25">
      <c r="A775" s="62"/>
      <c r="B775" s="62"/>
      <c r="C775" s="76"/>
      <c r="D775" s="77"/>
      <c r="E775" s="62"/>
      <c r="F775" s="62"/>
      <c r="G775" s="76"/>
      <c r="H775" s="76"/>
      <c r="I775" s="76"/>
      <c r="J775" s="76"/>
      <c r="K775" s="76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spans="1:26" ht="15.75" customHeight="1" x14ac:dyDescent="0.25">
      <c r="A776" s="62"/>
      <c r="B776" s="62"/>
      <c r="C776" s="76"/>
      <c r="D776" s="77"/>
      <c r="E776" s="62"/>
      <c r="F776" s="62"/>
      <c r="G776" s="76"/>
      <c r="H776" s="76"/>
      <c r="I776" s="76"/>
      <c r="J776" s="76"/>
      <c r="K776" s="76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spans="1:26" ht="15.75" customHeight="1" x14ac:dyDescent="0.25">
      <c r="A777" s="62"/>
      <c r="B777" s="62"/>
      <c r="C777" s="76"/>
      <c r="D777" s="77"/>
      <c r="E777" s="62"/>
      <c r="F777" s="62"/>
      <c r="G777" s="76"/>
      <c r="H777" s="76"/>
      <c r="I777" s="76"/>
      <c r="J777" s="76"/>
      <c r="K777" s="76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spans="1:26" ht="15.75" customHeight="1" x14ac:dyDescent="0.25">
      <c r="A778" s="62"/>
      <c r="B778" s="62"/>
      <c r="C778" s="76"/>
      <c r="D778" s="77"/>
      <c r="E778" s="62"/>
      <c r="F778" s="62"/>
      <c r="G778" s="76"/>
      <c r="H778" s="76"/>
      <c r="I778" s="76"/>
      <c r="J778" s="76"/>
      <c r="K778" s="76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spans="1:26" ht="15.75" customHeight="1" x14ac:dyDescent="0.25">
      <c r="A779" s="62"/>
      <c r="B779" s="62"/>
      <c r="C779" s="76"/>
      <c r="D779" s="77"/>
      <c r="E779" s="62"/>
      <c r="F779" s="62"/>
      <c r="G779" s="76"/>
      <c r="H779" s="76"/>
      <c r="I779" s="76"/>
      <c r="J779" s="76"/>
      <c r="K779" s="76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spans="1:26" ht="15.75" customHeight="1" x14ac:dyDescent="0.25">
      <c r="A780" s="62"/>
      <c r="B780" s="62"/>
      <c r="C780" s="76"/>
      <c r="D780" s="77"/>
      <c r="E780" s="62"/>
      <c r="F780" s="62"/>
      <c r="G780" s="76"/>
      <c r="H780" s="76"/>
      <c r="I780" s="76"/>
      <c r="J780" s="76"/>
      <c r="K780" s="76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spans="1:26" ht="15.75" customHeight="1" x14ac:dyDescent="0.25">
      <c r="A781" s="62"/>
      <c r="B781" s="62"/>
      <c r="C781" s="76"/>
      <c r="D781" s="77"/>
      <c r="E781" s="62"/>
      <c r="F781" s="62"/>
      <c r="G781" s="76"/>
      <c r="H781" s="76"/>
      <c r="I781" s="76"/>
      <c r="J781" s="76"/>
      <c r="K781" s="76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spans="1:26" ht="15.75" customHeight="1" x14ac:dyDescent="0.25">
      <c r="A782" s="62"/>
      <c r="B782" s="62"/>
      <c r="C782" s="76"/>
      <c r="D782" s="77"/>
      <c r="E782" s="62"/>
      <c r="F782" s="62"/>
      <c r="G782" s="76"/>
      <c r="H782" s="76"/>
      <c r="I782" s="76"/>
      <c r="J782" s="76"/>
      <c r="K782" s="76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spans="1:26" ht="15.75" customHeight="1" x14ac:dyDescent="0.25">
      <c r="A783" s="62"/>
      <c r="B783" s="62"/>
      <c r="C783" s="76"/>
      <c r="D783" s="77"/>
      <c r="E783" s="62"/>
      <c r="F783" s="62"/>
      <c r="G783" s="76"/>
      <c r="H783" s="76"/>
      <c r="I783" s="76"/>
      <c r="J783" s="76"/>
      <c r="K783" s="76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spans="1:26" ht="15.75" customHeight="1" x14ac:dyDescent="0.25">
      <c r="A784" s="62"/>
      <c r="B784" s="62"/>
      <c r="C784" s="76"/>
      <c r="D784" s="77"/>
      <c r="E784" s="62"/>
      <c r="F784" s="62"/>
      <c r="G784" s="76"/>
      <c r="H784" s="76"/>
      <c r="I784" s="76"/>
      <c r="J784" s="76"/>
      <c r="K784" s="76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spans="1:26" ht="15.75" customHeight="1" x14ac:dyDescent="0.25">
      <c r="A785" s="62"/>
      <c r="B785" s="62"/>
      <c r="C785" s="76"/>
      <c r="D785" s="77"/>
      <c r="E785" s="62"/>
      <c r="F785" s="62"/>
      <c r="G785" s="76"/>
      <c r="H785" s="76"/>
      <c r="I785" s="76"/>
      <c r="J785" s="76"/>
      <c r="K785" s="76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spans="1:26" ht="15.75" customHeight="1" x14ac:dyDescent="0.25">
      <c r="A786" s="62"/>
      <c r="B786" s="62"/>
      <c r="C786" s="76"/>
      <c r="D786" s="77"/>
      <c r="E786" s="62"/>
      <c r="F786" s="62"/>
      <c r="G786" s="76"/>
      <c r="H786" s="76"/>
      <c r="I786" s="76"/>
      <c r="J786" s="76"/>
      <c r="K786" s="76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spans="1:26" ht="15.75" customHeight="1" x14ac:dyDescent="0.25">
      <c r="A787" s="62"/>
      <c r="B787" s="62"/>
      <c r="C787" s="76"/>
      <c r="D787" s="77"/>
      <c r="E787" s="62"/>
      <c r="F787" s="62"/>
      <c r="G787" s="76"/>
      <c r="H787" s="76"/>
      <c r="I787" s="76"/>
      <c r="J787" s="76"/>
      <c r="K787" s="76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spans="1:26" ht="15.75" customHeight="1" x14ac:dyDescent="0.25">
      <c r="A788" s="62"/>
      <c r="B788" s="62"/>
      <c r="C788" s="76"/>
      <c r="D788" s="77"/>
      <c r="E788" s="62"/>
      <c r="F788" s="62"/>
      <c r="G788" s="76"/>
      <c r="H788" s="76"/>
      <c r="I788" s="76"/>
      <c r="J788" s="76"/>
      <c r="K788" s="76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spans="1:26" ht="15.75" customHeight="1" x14ac:dyDescent="0.25">
      <c r="A789" s="62"/>
      <c r="B789" s="62"/>
      <c r="C789" s="76"/>
      <c r="D789" s="77"/>
      <c r="E789" s="62"/>
      <c r="F789" s="62"/>
      <c r="G789" s="76"/>
      <c r="H789" s="76"/>
      <c r="I789" s="76"/>
      <c r="J789" s="76"/>
      <c r="K789" s="76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spans="1:26" ht="15.75" customHeight="1" x14ac:dyDescent="0.25">
      <c r="A790" s="62"/>
      <c r="B790" s="62"/>
      <c r="C790" s="76"/>
      <c r="D790" s="77"/>
      <c r="E790" s="62"/>
      <c r="F790" s="62"/>
      <c r="G790" s="76"/>
      <c r="H790" s="76"/>
      <c r="I790" s="76"/>
      <c r="J790" s="76"/>
      <c r="K790" s="76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spans="1:26" ht="15.75" customHeight="1" x14ac:dyDescent="0.25">
      <c r="A791" s="62"/>
      <c r="B791" s="62"/>
      <c r="C791" s="76"/>
      <c r="D791" s="77"/>
      <c r="E791" s="62"/>
      <c r="F791" s="62"/>
      <c r="G791" s="76"/>
      <c r="H791" s="76"/>
      <c r="I791" s="76"/>
      <c r="J791" s="76"/>
      <c r="K791" s="76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spans="1:26" ht="15.75" customHeight="1" x14ac:dyDescent="0.25">
      <c r="A792" s="62"/>
      <c r="B792" s="62"/>
      <c r="C792" s="76"/>
      <c r="D792" s="77"/>
      <c r="E792" s="62"/>
      <c r="F792" s="62"/>
      <c r="G792" s="76"/>
      <c r="H792" s="76"/>
      <c r="I792" s="76"/>
      <c r="J792" s="76"/>
      <c r="K792" s="76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spans="1:26" ht="15.75" customHeight="1" x14ac:dyDescent="0.25">
      <c r="A793" s="62"/>
      <c r="B793" s="62"/>
      <c r="C793" s="76"/>
      <c r="D793" s="77"/>
      <c r="E793" s="62"/>
      <c r="F793" s="62"/>
      <c r="G793" s="76"/>
      <c r="H793" s="76"/>
      <c r="I793" s="76"/>
      <c r="J793" s="76"/>
      <c r="K793" s="76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spans="1:26" ht="15.75" customHeight="1" x14ac:dyDescent="0.25">
      <c r="A794" s="62"/>
      <c r="B794" s="62"/>
      <c r="C794" s="76"/>
      <c r="D794" s="77"/>
      <c r="E794" s="62"/>
      <c r="F794" s="62"/>
      <c r="G794" s="76"/>
      <c r="H794" s="76"/>
      <c r="I794" s="76"/>
      <c r="J794" s="76"/>
      <c r="K794" s="76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spans="1:26" ht="15.75" customHeight="1" x14ac:dyDescent="0.25">
      <c r="A795" s="62"/>
      <c r="B795" s="62"/>
      <c r="C795" s="76"/>
      <c r="D795" s="77"/>
      <c r="E795" s="62"/>
      <c r="F795" s="62"/>
      <c r="G795" s="76"/>
      <c r="H795" s="76"/>
      <c r="I795" s="76"/>
      <c r="J795" s="76"/>
      <c r="K795" s="76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spans="1:26" ht="15.75" customHeight="1" x14ac:dyDescent="0.25">
      <c r="A796" s="62"/>
      <c r="B796" s="62"/>
      <c r="C796" s="76"/>
      <c r="D796" s="77"/>
      <c r="E796" s="62"/>
      <c r="F796" s="62"/>
      <c r="G796" s="76"/>
      <c r="H796" s="76"/>
      <c r="I796" s="76"/>
      <c r="J796" s="76"/>
      <c r="K796" s="76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spans="1:26" ht="15.75" customHeight="1" x14ac:dyDescent="0.25">
      <c r="A797" s="62"/>
      <c r="B797" s="62"/>
      <c r="C797" s="76"/>
      <c r="D797" s="77"/>
      <c r="E797" s="62"/>
      <c r="F797" s="62"/>
      <c r="G797" s="76"/>
      <c r="H797" s="76"/>
      <c r="I797" s="76"/>
      <c r="J797" s="76"/>
      <c r="K797" s="76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spans="1:26" ht="15.75" customHeight="1" x14ac:dyDescent="0.25">
      <c r="A798" s="62"/>
      <c r="B798" s="62"/>
      <c r="C798" s="76"/>
      <c r="D798" s="77"/>
      <c r="E798" s="62"/>
      <c r="F798" s="62"/>
      <c r="G798" s="76"/>
      <c r="H798" s="76"/>
      <c r="I798" s="76"/>
      <c r="J798" s="76"/>
      <c r="K798" s="76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spans="1:26" ht="15.75" customHeight="1" x14ac:dyDescent="0.25">
      <c r="A799" s="62"/>
      <c r="B799" s="62"/>
      <c r="C799" s="76"/>
      <c r="D799" s="77"/>
      <c r="E799" s="62"/>
      <c r="F799" s="62"/>
      <c r="G799" s="76"/>
      <c r="H799" s="76"/>
      <c r="I799" s="76"/>
      <c r="J799" s="76"/>
      <c r="K799" s="76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spans="1:26" ht="15.75" customHeight="1" x14ac:dyDescent="0.25">
      <c r="A800" s="62"/>
      <c r="B800" s="62"/>
      <c r="C800" s="76"/>
      <c r="D800" s="77"/>
      <c r="E800" s="62"/>
      <c r="F800" s="62"/>
      <c r="G800" s="76"/>
      <c r="H800" s="76"/>
      <c r="I800" s="76"/>
      <c r="J800" s="76"/>
      <c r="K800" s="76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spans="1:26" ht="15.75" customHeight="1" x14ac:dyDescent="0.25">
      <c r="A801" s="62"/>
      <c r="B801" s="62"/>
      <c r="C801" s="76"/>
      <c r="D801" s="77"/>
      <c r="E801" s="62"/>
      <c r="F801" s="62"/>
      <c r="G801" s="76"/>
      <c r="H801" s="76"/>
      <c r="I801" s="76"/>
      <c r="J801" s="76"/>
      <c r="K801" s="76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spans="1:26" ht="15.75" customHeight="1" x14ac:dyDescent="0.25">
      <c r="A802" s="62"/>
      <c r="B802" s="62"/>
      <c r="C802" s="76"/>
      <c r="D802" s="77"/>
      <c r="E802" s="62"/>
      <c r="F802" s="62"/>
      <c r="G802" s="76"/>
      <c r="H802" s="76"/>
      <c r="I802" s="76"/>
      <c r="J802" s="76"/>
      <c r="K802" s="76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spans="1:26" ht="15.75" customHeight="1" x14ac:dyDescent="0.25">
      <c r="A803" s="62"/>
      <c r="B803" s="62"/>
      <c r="C803" s="76"/>
      <c r="D803" s="77"/>
      <c r="E803" s="62"/>
      <c r="F803" s="62"/>
      <c r="G803" s="76"/>
      <c r="H803" s="76"/>
      <c r="I803" s="76"/>
      <c r="J803" s="76"/>
      <c r="K803" s="76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spans="1:26" ht="15.75" customHeight="1" x14ac:dyDescent="0.25">
      <c r="A804" s="62"/>
      <c r="B804" s="62"/>
      <c r="C804" s="76"/>
      <c r="D804" s="77"/>
      <c r="E804" s="62"/>
      <c r="F804" s="62"/>
      <c r="G804" s="76"/>
      <c r="H804" s="76"/>
      <c r="I804" s="76"/>
      <c r="J804" s="76"/>
      <c r="K804" s="76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spans="1:26" ht="15.75" customHeight="1" x14ac:dyDescent="0.25">
      <c r="A805" s="62"/>
      <c r="B805" s="62"/>
      <c r="C805" s="76"/>
      <c r="D805" s="77"/>
      <c r="E805" s="62"/>
      <c r="F805" s="62"/>
      <c r="G805" s="76"/>
      <c r="H805" s="76"/>
      <c r="I805" s="76"/>
      <c r="J805" s="76"/>
      <c r="K805" s="76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spans="1:26" ht="15.75" customHeight="1" x14ac:dyDescent="0.25">
      <c r="A806" s="62"/>
      <c r="B806" s="62"/>
      <c r="C806" s="76"/>
      <c r="D806" s="77"/>
      <c r="E806" s="62"/>
      <c r="F806" s="62"/>
      <c r="G806" s="76"/>
      <c r="H806" s="76"/>
      <c r="I806" s="76"/>
      <c r="J806" s="76"/>
      <c r="K806" s="76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spans="1:26" ht="15.75" customHeight="1" x14ac:dyDescent="0.25">
      <c r="A807" s="62"/>
      <c r="B807" s="62"/>
      <c r="C807" s="76"/>
      <c r="D807" s="77"/>
      <c r="E807" s="62"/>
      <c r="F807" s="62"/>
      <c r="G807" s="76"/>
      <c r="H807" s="76"/>
      <c r="I807" s="76"/>
      <c r="J807" s="76"/>
      <c r="K807" s="76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spans="1:26" ht="15.75" customHeight="1" x14ac:dyDescent="0.25">
      <c r="A808" s="62"/>
      <c r="B808" s="62"/>
      <c r="C808" s="76"/>
      <c r="D808" s="77"/>
      <c r="E808" s="62"/>
      <c r="F808" s="62"/>
      <c r="G808" s="76"/>
      <c r="H808" s="76"/>
      <c r="I808" s="76"/>
      <c r="J808" s="76"/>
      <c r="K808" s="76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spans="1:26" ht="15.75" customHeight="1" x14ac:dyDescent="0.25">
      <c r="A809" s="62"/>
      <c r="B809" s="62"/>
      <c r="C809" s="76"/>
      <c r="D809" s="77"/>
      <c r="E809" s="62"/>
      <c r="F809" s="62"/>
      <c r="G809" s="76"/>
      <c r="H809" s="76"/>
      <c r="I809" s="76"/>
      <c r="J809" s="76"/>
      <c r="K809" s="76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spans="1:26" ht="15.75" customHeight="1" x14ac:dyDescent="0.25">
      <c r="A810" s="62"/>
      <c r="B810" s="62"/>
      <c r="C810" s="76"/>
      <c r="D810" s="77"/>
      <c r="E810" s="62"/>
      <c r="F810" s="62"/>
      <c r="G810" s="76"/>
      <c r="H810" s="76"/>
      <c r="I810" s="76"/>
      <c r="J810" s="76"/>
      <c r="K810" s="76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spans="1:26" ht="15.75" customHeight="1" x14ac:dyDescent="0.25">
      <c r="A811" s="62"/>
      <c r="B811" s="62"/>
      <c r="C811" s="76"/>
      <c r="D811" s="77"/>
      <c r="E811" s="62"/>
      <c r="F811" s="62"/>
      <c r="G811" s="76"/>
      <c r="H811" s="76"/>
      <c r="I811" s="76"/>
      <c r="J811" s="76"/>
      <c r="K811" s="76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spans="1:26" ht="15.75" customHeight="1" x14ac:dyDescent="0.25">
      <c r="A812" s="62"/>
      <c r="B812" s="62"/>
      <c r="C812" s="76"/>
      <c r="D812" s="77"/>
      <c r="E812" s="62"/>
      <c r="F812" s="62"/>
      <c r="G812" s="76"/>
      <c r="H812" s="76"/>
      <c r="I812" s="76"/>
      <c r="J812" s="76"/>
      <c r="K812" s="76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spans="1:26" ht="15.75" customHeight="1" x14ac:dyDescent="0.25">
      <c r="A813" s="62"/>
      <c r="B813" s="62"/>
      <c r="C813" s="76"/>
      <c r="D813" s="77"/>
      <c r="E813" s="62"/>
      <c r="F813" s="62"/>
      <c r="G813" s="76"/>
      <c r="H813" s="76"/>
      <c r="I813" s="76"/>
      <c r="J813" s="76"/>
      <c r="K813" s="76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spans="1:26" ht="15.75" customHeight="1" x14ac:dyDescent="0.25">
      <c r="A814" s="62"/>
      <c r="B814" s="62"/>
      <c r="C814" s="76"/>
      <c r="D814" s="77"/>
      <c r="E814" s="62"/>
      <c r="F814" s="62"/>
      <c r="G814" s="76"/>
      <c r="H814" s="76"/>
      <c r="I814" s="76"/>
      <c r="J814" s="76"/>
      <c r="K814" s="76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spans="1:26" ht="15.75" customHeight="1" x14ac:dyDescent="0.25">
      <c r="A815" s="62"/>
      <c r="B815" s="62"/>
      <c r="C815" s="76"/>
      <c r="D815" s="77"/>
      <c r="E815" s="62"/>
      <c r="F815" s="62"/>
      <c r="G815" s="76"/>
      <c r="H815" s="76"/>
      <c r="I815" s="76"/>
      <c r="J815" s="76"/>
      <c r="K815" s="76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spans="1:26" ht="15.75" customHeight="1" x14ac:dyDescent="0.25">
      <c r="A816" s="62"/>
      <c r="B816" s="62"/>
      <c r="C816" s="76"/>
      <c r="D816" s="77"/>
      <c r="E816" s="62"/>
      <c r="F816" s="62"/>
      <c r="G816" s="76"/>
      <c r="H816" s="76"/>
      <c r="I816" s="76"/>
      <c r="J816" s="76"/>
      <c r="K816" s="76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spans="1:26" ht="15.75" customHeight="1" x14ac:dyDescent="0.25">
      <c r="A817" s="62"/>
      <c r="B817" s="62"/>
      <c r="C817" s="76"/>
      <c r="D817" s="77"/>
      <c r="E817" s="62"/>
      <c r="F817" s="62"/>
      <c r="G817" s="76"/>
      <c r="H817" s="76"/>
      <c r="I817" s="76"/>
      <c r="J817" s="76"/>
      <c r="K817" s="76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spans="1:26" ht="15.75" customHeight="1" x14ac:dyDescent="0.25">
      <c r="A818" s="62"/>
      <c r="B818" s="62"/>
      <c r="C818" s="76"/>
      <c r="D818" s="77"/>
      <c r="E818" s="62"/>
      <c r="F818" s="62"/>
      <c r="G818" s="76"/>
      <c r="H818" s="76"/>
      <c r="I818" s="76"/>
      <c r="J818" s="76"/>
      <c r="K818" s="76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spans="1:26" ht="15.75" customHeight="1" x14ac:dyDescent="0.25">
      <c r="A819" s="62"/>
      <c r="B819" s="62"/>
      <c r="C819" s="76"/>
      <c r="D819" s="77"/>
      <c r="E819" s="62"/>
      <c r="F819" s="62"/>
      <c r="G819" s="76"/>
      <c r="H819" s="76"/>
      <c r="I819" s="76"/>
      <c r="J819" s="76"/>
      <c r="K819" s="76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spans="1:26" ht="15.75" customHeight="1" x14ac:dyDescent="0.25">
      <c r="A820" s="62"/>
      <c r="B820" s="62"/>
      <c r="C820" s="76"/>
      <c r="D820" s="77"/>
      <c r="E820" s="62"/>
      <c r="F820" s="62"/>
      <c r="G820" s="76"/>
      <c r="H820" s="76"/>
      <c r="I820" s="76"/>
      <c r="J820" s="76"/>
      <c r="K820" s="76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spans="1:26" ht="15.75" customHeight="1" x14ac:dyDescent="0.25">
      <c r="A821" s="62"/>
      <c r="B821" s="62"/>
      <c r="C821" s="76"/>
      <c r="D821" s="77"/>
      <c r="E821" s="62"/>
      <c r="F821" s="62"/>
      <c r="G821" s="76"/>
      <c r="H821" s="76"/>
      <c r="I821" s="76"/>
      <c r="J821" s="76"/>
      <c r="K821" s="76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spans="1:26" ht="15.75" customHeight="1" x14ac:dyDescent="0.25">
      <c r="A822" s="62"/>
      <c r="B822" s="62"/>
      <c r="C822" s="76"/>
      <c r="D822" s="77"/>
      <c r="E822" s="62"/>
      <c r="F822" s="62"/>
      <c r="G822" s="76"/>
      <c r="H822" s="76"/>
      <c r="I822" s="76"/>
      <c r="J822" s="76"/>
      <c r="K822" s="76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spans="1:26" ht="15.75" customHeight="1" x14ac:dyDescent="0.25">
      <c r="A823" s="62"/>
      <c r="B823" s="62"/>
      <c r="C823" s="76"/>
      <c r="D823" s="77"/>
      <c r="E823" s="62"/>
      <c r="F823" s="62"/>
      <c r="G823" s="76"/>
      <c r="H823" s="76"/>
      <c r="I823" s="76"/>
      <c r="J823" s="76"/>
      <c r="K823" s="76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spans="1:26" ht="15.75" customHeight="1" x14ac:dyDescent="0.25">
      <c r="A824" s="62"/>
      <c r="B824" s="62"/>
      <c r="C824" s="76"/>
      <c r="D824" s="77"/>
      <c r="E824" s="62"/>
      <c r="F824" s="62"/>
      <c r="G824" s="76"/>
      <c r="H824" s="76"/>
      <c r="I824" s="76"/>
      <c r="J824" s="76"/>
      <c r="K824" s="76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spans="1:26" ht="15.75" customHeight="1" x14ac:dyDescent="0.25">
      <c r="A825" s="62"/>
      <c r="B825" s="62"/>
      <c r="C825" s="76"/>
      <c r="D825" s="77"/>
      <c r="E825" s="62"/>
      <c r="F825" s="62"/>
      <c r="G825" s="76"/>
      <c r="H825" s="76"/>
      <c r="I825" s="76"/>
      <c r="J825" s="76"/>
      <c r="K825" s="76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spans="1:26" ht="15.75" customHeight="1" x14ac:dyDescent="0.25">
      <c r="A826" s="62"/>
      <c r="B826" s="62"/>
      <c r="C826" s="76"/>
      <c r="D826" s="77"/>
      <c r="E826" s="62"/>
      <c r="F826" s="62"/>
      <c r="G826" s="76"/>
      <c r="H826" s="76"/>
      <c r="I826" s="76"/>
      <c r="J826" s="76"/>
      <c r="K826" s="76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spans="1:26" ht="15.75" customHeight="1" x14ac:dyDescent="0.25">
      <c r="A827" s="62"/>
      <c r="B827" s="62"/>
      <c r="C827" s="76"/>
      <c r="D827" s="77"/>
      <c r="E827" s="62"/>
      <c r="F827" s="62"/>
      <c r="G827" s="76"/>
      <c r="H827" s="76"/>
      <c r="I827" s="76"/>
      <c r="J827" s="76"/>
      <c r="K827" s="76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spans="1:26" ht="15.75" customHeight="1" x14ac:dyDescent="0.25">
      <c r="A828" s="62"/>
      <c r="B828" s="62"/>
      <c r="C828" s="76"/>
      <c r="D828" s="77"/>
      <c r="E828" s="62"/>
      <c r="F828" s="62"/>
      <c r="G828" s="76"/>
      <c r="H828" s="76"/>
      <c r="I828" s="76"/>
      <c r="J828" s="76"/>
      <c r="K828" s="76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spans="1:26" ht="15.75" customHeight="1" x14ac:dyDescent="0.25">
      <c r="A829" s="62"/>
      <c r="B829" s="62"/>
      <c r="C829" s="76"/>
      <c r="D829" s="77"/>
      <c r="E829" s="62"/>
      <c r="F829" s="62"/>
      <c r="G829" s="76"/>
      <c r="H829" s="76"/>
      <c r="I829" s="76"/>
      <c r="J829" s="76"/>
      <c r="K829" s="76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spans="1:26" ht="15.75" customHeight="1" x14ac:dyDescent="0.25">
      <c r="A830" s="62"/>
      <c r="B830" s="62"/>
      <c r="C830" s="76"/>
      <c r="D830" s="77"/>
      <c r="E830" s="62"/>
      <c r="F830" s="62"/>
      <c r="G830" s="76"/>
      <c r="H830" s="76"/>
      <c r="I830" s="76"/>
      <c r="J830" s="76"/>
      <c r="K830" s="76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spans="1:26" ht="15.75" customHeight="1" x14ac:dyDescent="0.25">
      <c r="A831" s="62"/>
      <c r="B831" s="62"/>
      <c r="C831" s="76"/>
      <c r="D831" s="77"/>
      <c r="E831" s="62"/>
      <c r="F831" s="62"/>
      <c r="G831" s="76"/>
      <c r="H831" s="76"/>
      <c r="I831" s="76"/>
      <c r="J831" s="76"/>
      <c r="K831" s="76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spans="1:26" ht="15.75" customHeight="1" x14ac:dyDescent="0.25">
      <c r="A832" s="62"/>
      <c r="B832" s="62"/>
      <c r="C832" s="76"/>
      <c r="D832" s="77"/>
      <c r="E832" s="62"/>
      <c r="F832" s="62"/>
      <c r="G832" s="76"/>
      <c r="H832" s="76"/>
      <c r="I832" s="76"/>
      <c r="J832" s="76"/>
      <c r="K832" s="76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spans="1:26" ht="15.75" customHeight="1" x14ac:dyDescent="0.25">
      <c r="A833" s="62"/>
      <c r="B833" s="62"/>
      <c r="C833" s="76"/>
      <c r="D833" s="77"/>
      <c r="E833" s="62"/>
      <c r="F833" s="62"/>
      <c r="G833" s="76"/>
      <c r="H833" s="76"/>
      <c r="I833" s="76"/>
      <c r="J833" s="76"/>
      <c r="K833" s="76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spans="1:26" ht="15.75" customHeight="1" x14ac:dyDescent="0.25">
      <c r="A834" s="62"/>
      <c r="B834" s="62"/>
      <c r="C834" s="76"/>
      <c r="D834" s="77"/>
      <c r="E834" s="62"/>
      <c r="F834" s="62"/>
      <c r="G834" s="76"/>
      <c r="H834" s="76"/>
      <c r="I834" s="76"/>
      <c r="J834" s="76"/>
      <c r="K834" s="76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spans="1:26" ht="15.75" customHeight="1" x14ac:dyDescent="0.25">
      <c r="A835" s="62"/>
      <c r="B835" s="62"/>
      <c r="C835" s="76"/>
      <c r="D835" s="77"/>
      <c r="E835" s="62"/>
      <c r="F835" s="62"/>
      <c r="G835" s="76"/>
      <c r="H835" s="76"/>
      <c r="I835" s="76"/>
      <c r="J835" s="76"/>
      <c r="K835" s="76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spans="1:26" ht="15.75" customHeight="1" x14ac:dyDescent="0.25">
      <c r="A836" s="62"/>
      <c r="B836" s="62"/>
      <c r="C836" s="76"/>
      <c r="D836" s="77"/>
      <c r="E836" s="62"/>
      <c r="F836" s="62"/>
      <c r="G836" s="76"/>
      <c r="H836" s="76"/>
      <c r="I836" s="76"/>
      <c r="J836" s="76"/>
      <c r="K836" s="76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spans="1:26" ht="15.75" customHeight="1" x14ac:dyDescent="0.25">
      <c r="A837" s="62"/>
      <c r="B837" s="62"/>
      <c r="C837" s="76"/>
      <c r="D837" s="77"/>
      <c r="E837" s="62"/>
      <c r="F837" s="62"/>
      <c r="G837" s="76"/>
      <c r="H837" s="76"/>
      <c r="I837" s="76"/>
      <c r="J837" s="76"/>
      <c r="K837" s="76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spans="1:26" ht="15.75" customHeight="1" x14ac:dyDescent="0.25">
      <c r="A838" s="62"/>
      <c r="B838" s="62"/>
      <c r="C838" s="76"/>
      <c r="D838" s="77"/>
      <c r="E838" s="62"/>
      <c r="F838" s="62"/>
      <c r="G838" s="76"/>
      <c r="H838" s="76"/>
      <c r="I838" s="76"/>
      <c r="J838" s="76"/>
      <c r="K838" s="76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spans="1:26" ht="15.75" customHeight="1" x14ac:dyDescent="0.25">
      <c r="A839" s="62"/>
      <c r="B839" s="62"/>
      <c r="C839" s="76"/>
      <c r="D839" s="77"/>
      <c r="E839" s="62"/>
      <c r="F839" s="62"/>
      <c r="G839" s="76"/>
      <c r="H839" s="76"/>
      <c r="I839" s="76"/>
      <c r="J839" s="76"/>
      <c r="K839" s="76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spans="1:26" ht="15.75" customHeight="1" x14ac:dyDescent="0.25">
      <c r="A840" s="62"/>
      <c r="B840" s="62"/>
      <c r="C840" s="76"/>
      <c r="D840" s="77"/>
      <c r="E840" s="62"/>
      <c r="F840" s="62"/>
      <c r="G840" s="76"/>
      <c r="H840" s="76"/>
      <c r="I840" s="76"/>
      <c r="J840" s="76"/>
      <c r="K840" s="76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spans="1:26" ht="15.75" customHeight="1" x14ac:dyDescent="0.25">
      <c r="A841" s="62"/>
      <c r="B841" s="62"/>
      <c r="C841" s="76"/>
      <c r="D841" s="77"/>
      <c r="E841" s="62"/>
      <c r="F841" s="62"/>
      <c r="G841" s="76"/>
      <c r="H841" s="76"/>
      <c r="I841" s="76"/>
      <c r="J841" s="76"/>
      <c r="K841" s="76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spans="1:26" ht="15.75" customHeight="1" x14ac:dyDescent="0.25">
      <c r="A842" s="62"/>
      <c r="B842" s="62"/>
      <c r="C842" s="76"/>
      <c r="D842" s="77"/>
      <c r="E842" s="62"/>
      <c r="F842" s="62"/>
      <c r="G842" s="76"/>
      <c r="H842" s="76"/>
      <c r="I842" s="76"/>
      <c r="J842" s="76"/>
      <c r="K842" s="76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spans="1:26" ht="15.75" customHeight="1" x14ac:dyDescent="0.25">
      <c r="A843" s="62"/>
      <c r="B843" s="62"/>
      <c r="C843" s="76"/>
      <c r="D843" s="77"/>
      <c r="E843" s="62"/>
      <c r="F843" s="62"/>
      <c r="G843" s="76"/>
      <c r="H843" s="76"/>
      <c r="I843" s="76"/>
      <c r="J843" s="76"/>
      <c r="K843" s="76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spans="1:26" ht="15.75" customHeight="1" x14ac:dyDescent="0.25">
      <c r="A844" s="62"/>
      <c r="B844" s="62"/>
      <c r="C844" s="76"/>
      <c r="D844" s="77"/>
      <c r="E844" s="62"/>
      <c r="F844" s="62"/>
      <c r="G844" s="76"/>
      <c r="H844" s="76"/>
      <c r="I844" s="76"/>
      <c r="J844" s="76"/>
      <c r="K844" s="76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spans="1:26" ht="15.75" customHeight="1" x14ac:dyDescent="0.25">
      <c r="A845" s="62"/>
      <c r="B845" s="62"/>
      <c r="C845" s="76"/>
      <c r="D845" s="77"/>
      <c r="E845" s="62"/>
      <c r="F845" s="62"/>
      <c r="G845" s="76"/>
      <c r="H845" s="76"/>
      <c r="I845" s="76"/>
      <c r="J845" s="76"/>
      <c r="K845" s="76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spans="1:26" ht="15.75" customHeight="1" x14ac:dyDescent="0.25">
      <c r="A846" s="62"/>
      <c r="B846" s="62"/>
      <c r="C846" s="76"/>
      <c r="D846" s="77"/>
      <c r="E846" s="62"/>
      <c r="F846" s="62"/>
      <c r="G846" s="76"/>
      <c r="H846" s="76"/>
      <c r="I846" s="76"/>
      <c r="J846" s="76"/>
      <c r="K846" s="76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spans="1:26" ht="15.75" customHeight="1" x14ac:dyDescent="0.25">
      <c r="A847" s="62"/>
      <c r="B847" s="62"/>
      <c r="C847" s="76"/>
      <c r="D847" s="77"/>
      <c r="E847" s="62"/>
      <c r="F847" s="62"/>
      <c r="G847" s="76"/>
      <c r="H847" s="76"/>
      <c r="I847" s="76"/>
      <c r="J847" s="76"/>
      <c r="K847" s="76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spans="1:26" ht="15.75" customHeight="1" x14ac:dyDescent="0.25">
      <c r="A848" s="62"/>
      <c r="B848" s="62"/>
      <c r="C848" s="76"/>
      <c r="D848" s="77"/>
      <c r="E848" s="62"/>
      <c r="F848" s="62"/>
      <c r="G848" s="76"/>
      <c r="H848" s="76"/>
      <c r="I848" s="76"/>
      <c r="J848" s="76"/>
      <c r="K848" s="76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spans="1:26" ht="15.75" customHeight="1" x14ac:dyDescent="0.25">
      <c r="A849" s="62"/>
      <c r="B849" s="62"/>
      <c r="C849" s="76"/>
      <c r="D849" s="77"/>
      <c r="E849" s="62"/>
      <c r="F849" s="62"/>
      <c r="G849" s="76"/>
      <c r="H849" s="76"/>
      <c r="I849" s="76"/>
      <c r="J849" s="76"/>
      <c r="K849" s="76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spans="1:26" ht="15.75" customHeight="1" x14ac:dyDescent="0.25">
      <c r="A850" s="62"/>
      <c r="B850" s="62"/>
      <c r="C850" s="76"/>
      <c r="D850" s="77"/>
      <c r="E850" s="62"/>
      <c r="F850" s="62"/>
      <c r="G850" s="76"/>
      <c r="H850" s="76"/>
      <c r="I850" s="76"/>
      <c r="J850" s="76"/>
      <c r="K850" s="76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spans="1:26" ht="15.75" customHeight="1" x14ac:dyDescent="0.25">
      <c r="A851" s="62"/>
      <c r="B851" s="62"/>
      <c r="C851" s="76"/>
      <c r="D851" s="77"/>
      <c r="E851" s="62"/>
      <c r="F851" s="62"/>
      <c r="G851" s="76"/>
      <c r="H851" s="76"/>
      <c r="I851" s="76"/>
      <c r="J851" s="76"/>
      <c r="K851" s="76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spans="1:26" ht="15.75" customHeight="1" x14ac:dyDescent="0.25">
      <c r="A852" s="62"/>
      <c r="B852" s="62"/>
      <c r="C852" s="76"/>
      <c r="D852" s="77"/>
      <c r="E852" s="62"/>
      <c r="F852" s="62"/>
      <c r="G852" s="76"/>
      <c r="H852" s="76"/>
      <c r="I852" s="76"/>
      <c r="J852" s="76"/>
      <c r="K852" s="76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spans="1:26" ht="15.75" customHeight="1" x14ac:dyDescent="0.25">
      <c r="A853" s="62"/>
      <c r="B853" s="62"/>
      <c r="C853" s="76"/>
      <c r="D853" s="77"/>
      <c r="E853" s="62"/>
      <c r="F853" s="62"/>
      <c r="G853" s="76"/>
      <c r="H853" s="76"/>
      <c r="I853" s="76"/>
      <c r="J853" s="76"/>
      <c r="K853" s="76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spans="1:26" ht="15.75" customHeight="1" x14ac:dyDescent="0.25">
      <c r="A854" s="62"/>
      <c r="B854" s="62"/>
      <c r="C854" s="76"/>
      <c r="D854" s="77"/>
      <c r="E854" s="62"/>
      <c r="F854" s="62"/>
      <c r="G854" s="76"/>
      <c r="H854" s="76"/>
      <c r="I854" s="76"/>
      <c r="J854" s="76"/>
      <c r="K854" s="76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spans="1:26" ht="15.75" customHeight="1" x14ac:dyDescent="0.25">
      <c r="A855" s="62"/>
      <c r="B855" s="62"/>
      <c r="C855" s="76"/>
      <c r="D855" s="77"/>
      <c r="E855" s="62"/>
      <c r="F855" s="62"/>
      <c r="G855" s="76"/>
      <c r="H855" s="76"/>
      <c r="I855" s="76"/>
      <c r="J855" s="76"/>
      <c r="K855" s="76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spans="1:26" ht="15.75" customHeight="1" x14ac:dyDescent="0.25">
      <c r="A856" s="62"/>
      <c r="B856" s="62"/>
      <c r="C856" s="76"/>
      <c r="D856" s="77"/>
      <c r="E856" s="62"/>
      <c r="F856" s="62"/>
      <c r="G856" s="76"/>
      <c r="H856" s="76"/>
      <c r="I856" s="76"/>
      <c r="J856" s="76"/>
      <c r="K856" s="76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spans="1:26" ht="15.75" customHeight="1" x14ac:dyDescent="0.25">
      <c r="A857" s="62"/>
      <c r="B857" s="62"/>
      <c r="C857" s="76"/>
      <c r="D857" s="77"/>
      <c r="E857" s="62"/>
      <c r="F857" s="62"/>
      <c r="G857" s="76"/>
      <c r="H857" s="76"/>
      <c r="I857" s="76"/>
      <c r="J857" s="76"/>
      <c r="K857" s="76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spans="1:26" ht="15.75" customHeight="1" x14ac:dyDescent="0.25">
      <c r="A858" s="62"/>
      <c r="B858" s="62"/>
      <c r="C858" s="76"/>
      <c r="D858" s="77"/>
      <c r="E858" s="62"/>
      <c r="F858" s="62"/>
      <c r="G858" s="76"/>
      <c r="H858" s="76"/>
      <c r="I858" s="76"/>
      <c r="J858" s="76"/>
      <c r="K858" s="76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spans="1:26" ht="15.75" customHeight="1" x14ac:dyDescent="0.25">
      <c r="A859" s="62"/>
      <c r="B859" s="62"/>
      <c r="C859" s="76"/>
      <c r="D859" s="77"/>
      <c r="E859" s="62"/>
      <c r="F859" s="62"/>
      <c r="G859" s="76"/>
      <c r="H859" s="76"/>
      <c r="I859" s="76"/>
      <c r="J859" s="76"/>
      <c r="K859" s="76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spans="1:26" ht="15.75" customHeight="1" x14ac:dyDescent="0.25">
      <c r="A860" s="62"/>
      <c r="B860" s="62"/>
      <c r="C860" s="76"/>
      <c r="D860" s="77"/>
      <c r="E860" s="62"/>
      <c r="F860" s="62"/>
      <c r="G860" s="76"/>
      <c r="H860" s="76"/>
      <c r="I860" s="76"/>
      <c r="J860" s="76"/>
      <c r="K860" s="76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spans="1:26" ht="15.75" customHeight="1" x14ac:dyDescent="0.25">
      <c r="A861" s="62"/>
      <c r="B861" s="62"/>
      <c r="C861" s="76"/>
      <c r="D861" s="77"/>
      <c r="E861" s="62"/>
      <c r="F861" s="62"/>
      <c r="G861" s="76"/>
      <c r="H861" s="76"/>
      <c r="I861" s="76"/>
      <c r="J861" s="76"/>
      <c r="K861" s="76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spans="1:26" ht="15.75" customHeight="1" x14ac:dyDescent="0.25">
      <c r="A862" s="62"/>
      <c r="B862" s="62"/>
      <c r="C862" s="76"/>
      <c r="D862" s="77"/>
      <c r="E862" s="62"/>
      <c r="F862" s="62"/>
      <c r="G862" s="76"/>
      <c r="H862" s="76"/>
      <c r="I862" s="76"/>
      <c r="J862" s="76"/>
      <c r="K862" s="76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spans="1:26" ht="15.75" customHeight="1" x14ac:dyDescent="0.25">
      <c r="A863" s="62"/>
      <c r="B863" s="62"/>
      <c r="C863" s="76"/>
      <c r="D863" s="77"/>
      <c r="E863" s="62"/>
      <c r="F863" s="62"/>
      <c r="G863" s="76"/>
      <c r="H863" s="76"/>
      <c r="I863" s="76"/>
      <c r="J863" s="76"/>
      <c r="K863" s="76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spans="1:26" ht="15.75" customHeight="1" x14ac:dyDescent="0.25">
      <c r="A864" s="62"/>
      <c r="B864" s="62"/>
      <c r="C864" s="76"/>
      <c r="D864" s="77"/>
      <c r="E864" s="62"/>
      <c r="F864" s="62"/>
      <c r="G864" s="76"/>
      <c r="H864" s="76"/>
      <c r="I864" s="76"/>
      <c r="J864" s="76"/>
      <c r="K864" s="76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spans="1:26" ht="15.75" customHeight="1" x14ac:dyDescent="0.25">
      <c r="A865" s="62"/>
      <c r="B865" s="62"/>
      <c r="C865" s="76"/>
      <c r="D865" s="77"/>
      <c r="E865" s="62"/>
      <c r="F865" s="62"/>
      <c r="G865" s="76"/>
      <c r="H865" s="76"/>
      <c r="I865" s="76"/>
      <c r="J865" s="76"/>
      <c r="K865" s="76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spans="1:26" ht="15.75" customHeight="1" x14ac:dyDescent="0.25">
      <c r="A866" s="62"/>
      <c r="B866" s="62"/>
      <c r="C866" s="76"/>
      <c r="D866" s="77"/>
      <c r="E866" s="62"/>
      <c r="F866" s="62"/>
      <c r="G866" s="76"/>
      <c r="H866" s="76"/>
      <c r="I866" s="76"/>
      <c r="J866" s="76"/>
      <c r="K866" s="76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spans="1:26" ht="15.75" customHeight="1" x14ac:dyDescent="0.25">
      <c r="A867" s="62"/>
      <c r="B867" s="62"/>
      <c r="C867" s="76"/>
      <c r="D867" s="77"/>
      <c r="E867" s="62"/>
      <c r="F867" s="62"/>
      <c r="G867" s="76"/>
      <c r="H867" s="76"/>
      <c r="I867" s="76"/>
      <c r="J867" s="76"/>
      <c r="K867" s="76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spans="1:26" ht="15.75" customHeight="1" x14ac:dyDescent="0.25">
      <c r="A868" s="62"/>
      <c r="B868" s="62"/>
      <c r="C868" s="76"/>
      <c r="D868" s="77"/>
      <c r="E868" s="62"/>
      <c r="F868" s="62"/>
      <c r="G868" s="76"/>
      <c r="H868" s="76"/>
      <c r="I868" s="76"/>
      <c r="J868" s="76"/>
      <c r="K868" s="76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spans="1:26" ht="15.75" customHeight="1" x14ac:dyDescent="0.25">
      <c r="A869" s="62"/>
      <c r="B869" s="62"/>
      <c r="C869" s="76"/>
      <c r="D869" s="77"/>
      <c r="E869" s="62"/>
      <c r="F869" s="62"/>
      <c r="G869" s="76"/>
      <c r="H869" s="76"/>
      <c r="I869" s="76"/>
      <c r="J869" s="76"/>
      <c r="K869" s="76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spans="1:26" ht="15.75" customHeight="1" x14ac:dyDescent="0.25">
      <c r="A870" s="62"/>
      <c r="B870" s="62"/>
      <c r="C870" s="76"/>
      <c r="D870" s="77"/>
      <c r="E870" s="62"/>
      <c r="F870" s="62"/>
      <c r="G870" s="76"/>
      <c r="H870" s="76"/>
      <c r="I870" s="76"/>
      <c r="J870" s="76"/>
      <c r="K870" s="76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spans="1:26" ht="15.75" customHeight="1" x14ac:dyDescent="0.25">
      <c r="A871" s="62"/>
      <c r="B871" s="62"/>
      <c r="C871" s="76"/>
      <c r="D871" s="77"/>
      <c r="E871" s="62"/>
      <c r="F871" s="62"/>
      <c r="G871" s="76"/>
      <c r="H871" s="76"/>
      <c r="I871" s="76"/>
      <c r="J871" s="76"/>
      <c r="K871" s="76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spans="1:26" ht="15.75" customHeight="1" x14ac:dyDescent="0.25">
      <c r="A872" s="62"/>
      <c r="B872" s="62"/>
      <c r="C872" s="76"/>
      <c r="D872" s="77"/>
      <c r="E872" s="62"/>
      <c r="F872" s="62"/>
      <c r="G872" s="76"/>
      <c r="H872" s="76"/>
      <c r="I872" s="76"/>
      <c r="J872" s="76"/>
      <c r="K872" s="76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spans="1:26" ht="15.75" customHeight="1" x14ac:dyDescent="0.25">
      <c r="A873" s="62"/>
      <c r="B873" s="62"/>
      <c r="C873" s="76"/>
      <c r="D873" s="77"/>
      <c r="E873" s="62"/>
      <c r="F873" s="62"/>
      <c r="G873" s="76"/>
      <c r="H873" s="76"/>
      <c r="I873" s="76"/>
      <c r="J873" s="76"/>
      <c r="K873" s="76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spans="1:26" ht="15.75" customHeight="1" x14ac:dyDescent="0.25">
      <c r="A874" s="62"/>
      <c r="B874" s="62"/>
      <c r="C874" s="76"/>
      <c r="D874" s="77"/>
      <c r="E874" s="62"/>
      <c r="F874" s="62"/>
      <c r="G874" s="76"/>
      <c r="H874" s="76"/>
      <c r="I874" s="76"/>
      <c r="J874" s="76"/>
      <c r="K874" s="76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spans="1:26" ht="15.75" customHeight="1" x14ac:dyDescent="0.25">
      <c r="A875" s="62"/>
      <c r="B875" s="62"/>
      <c r="C875" s="76"/>
      <c r="D875" s="77"/>
      <c r="E875" s="62"/>
      <c r="F875" s="62"/>
      <c r="G875" s="76"/>
      <c r="H875" s="76"/>
      <c r="I875" s="76"/>
      <c r="J875" s="76"/>
      <c r="K875" s="76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spans="1:26" ht="15.75" customHeight="1" x14ac:dyDescent="0.25">
      <c r="A876" s="62"/>
      <c r="B876" s="62"/>
      <c r="C876" s="76"/>
      <c r="D876" s="77"/>
      <c r="E876" s="62"/>
      <c r="F876" s="62"/>
      <c r="G876" s="76"/>
      <c r="H876" s="76"/>
      <c r="I876" s="76"/>
      <c r="J876" s="76"/>
      <c r="K876" s="76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spans="1:26" ht="15.75" customHeight="1" x14ac:dyDescent="0.25">
      <c r="A877" s="62"/>
      <c r="B877" s="62"/>
      <c r="C877" s="76"/>
      <c r="D877" s="77"/>
      <c r="E877" s="62"/>
      <c r="F877" s="62"/>
      <c r="G877" s="76"/>
      <c r="H877" s="76"/>
      <c r="I877" s="76"/>
      <c r="J877" s="76"/>
      <c r="K877" s="76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spans="1:26" ht="15.75" customHeight="1" x14ac:dyDescent="0.25">
      <c r="A878" s="62"/>
      <c r="B878" s="62"/>
      <c r="C878" s="76"/>
      <c r="D878" s="77"/>
      <c r="E878" s="62"/>
      <c r="F878" s="62"/>
      <c r="G878" s="76"/>
      <c r="H878" s="76"/>
      <c r="I878" s="76"/>
      <c r="J878" s="76"/>
      <c r="K878" s="76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spans="1:26" ht="15.75" customHeight="1" x14ac:dyDescent="0.25">
      <c r="A879" s="62"/>
      <c r="B879" s="62"/>
      <c r="C879" s="76"/>
      <c r="D879" s="77"/>
      <c r="E879" s="62"/>
      <c r="F879" s="62"/>
      <c r="G879" s="76"/>
      <c r="H879" s="76"/>
      <c r="I879" s="76"/>
      <c r="J879" s="76"/>
      <c r="K879" s="76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spans="1:26" ht="15.75" customHeight="1" x14ac:dyDescent="0.25">
      <c r="A880" s="62"/>
      <c r="B880" s="62"/>
      <c r="C880" s="76"/>
      <c r="D880" s="77"/>
      <c r="E880" s="62"/>
      <c r="F880" s="62"/>
      <c r="G880" s="76"/>
      <c r="H880" s="76"/>
      <c r="I880" s="76"/>
      <c r="J880" s="76"/>
      <c r="K880" s="76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spans="1:26" ht="15.75" customHeight="1" x14ac:dyDescent="0.25">
      <c r="A881" s="62"/>
      <c r="B881" s="62"/>
      <c r="C881" s="76"/>
      <c r="D881" s="77"/>
      <c r="E881" s="62"/>
      <c r="F881" s="62"/>
      <c r="G881" s="76"/>
      <c r="H881" s="76"/>
      <c r="I881" s="76"/>
      <c r="J881" s="76"/>
      <c r="K881" s="76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spans="1:26" ht="15.75" customHeight="1" x14ac:dyDescent="0.25">
      <c r="A882" s="62"/>
      <c r="B882" s="62"/>
      <c r="C882" s="76"/>
      <c r="D882" s="77"/>
      <c r="E882" s="62"/>
      <c r="F882" s="62"/>
      <c r="G882" s="76"/>
      <c r="H882" s="76"/>
      <c r="I882" s="76"/>
      <c r="J882" s="76"/>
      <c r="K882" s="76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spans="1:26" ht="15.75" customHeight="1" x14ac:dyDescent="0.25">
      <c r="A883" s="62"/>
      <c r="B883" s="62"/>
      <c r="C883" s="76"/>
      <c r="D883" s="77"/>
      <c r="E883" s="62"/>
      <c r="F883" s="62"/>
      <c r="G883" s="76"/>
      <c r="H883" s="76"/>
      <c r="I883" s="76"/>
      <c r="J883" s="76"/>
      <c r="K883" s="76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spans="1:26" ht="15.75" customHeight="1" x14ac:dyDescent="0.25">
      <c r="A884" s="62"/>
      <c r="B884" s="62"/>
      <c r="C884" s="76"/>
      <c r="D884" s="77"/>
      <c r="E884" s="62"/>
      <c r="F884" s="62"/>
      <c r="G884" s="76"/>
      <c r="H884" s="76"/>
      <c r="I884" s="76"/>
      <c r="J884" s="76"/>
      <c r="K884" s="76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spans="1:26" ht="15.75" customHeight="1" x14ac:dyDescent="0.25">
      <c r="A885" s="62"/>
      <c r="B885" s="62"/>
      <c r="C885" s="76"/>
      <c r="D885" s="77"/>
      <c r="E885" s="62"/>
      <c r="F885" s="62"/>
      <c r="G885" s="76"/>
      <c r="H885" s="76"/>
      <c r="I885" s="76"/>
      <c r="J885" s="76"/>
      <c r="K885" s="76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spans="1:26" ht="15.75" customHeight="1" x14ac:dyDescent="0.25">
      <c r="A886" s="62"/>
      <c r="B886" s="62"/>
      <c r="C886" s="76"/>
      <c r="D886" s="77"/>
      <c r="E886" s="62"/>
      <c r="F886" s="62"/>
      <c r="G886" s="76"/>
      <c r="H886" s="76"/>
      <c r="I886" s="76"/>
      <c r="J886" s="76"/>
      <c r="K886" s="76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spans="1:26" ht="15.75" customHeight="1" x14ac:dyDescent="0.25">
      <c r="A887" s="62"/>
      <c r="B887" s="62"/>
      <c r="C887" s="76"/>
      <c r="D887" s="77"/>
      <c r="E887" s="62"/>
      <c r="F887" s="62"/>
      <c r="G887" s="76"/>
      <c r="H887" s="76"/>
      <c r="I887" s="76"/>
      <c r="J887" s="76"/>
      <c r="K887" s="76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spans="1:26" ht="15.75" customHeight="1" x14ac:dyDescent="0.25">
      <c r="A888" s="62"/>
      <c r="B888" s="62"/>
      <c r="C888" s="76"/>
      <c r="D888" s="77"/>
      <c r="E888" s="62"/>
      <c r="F888" s="62"/>
      <c r="G888" s="76"/>
      <c r="H888" s="76"/>
      <c r="I888" s="76"/>
      <c r="J888" s="76"/>
      <c r="K888" s="76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spans="1:26" ht="15.75" customHeight="1" x14ac:dyDescent="0.25">
      <c r="A889" s="62"/>
      <c r="B889" s="62"/>
      <c r="C889" s="76"/>
      <c r="D889" s="77"/>
      <c r="E889" s="62"/>
      <c r="F889" s="62"/>
      <c r="G889" s="76"/>
      <c r="H889" s="76"/>
      <c r="I889" s="76"/>
      <c r="J889" s="76"/>
      <c r="K889" s="76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spans="1:26" ht="15.75" customHeight="1" x14ac:dyDescent="0.25">
      <c r="A890" s="62"/>
      <c r="B890" s="62"/>
      <c r="C890" s="76"/>
      <c r="D890" s="77"/>
      <c r="E890" s="62"/>
      <c r="F890" s="62"/>
      <c r="G890" s="76"/>
      <c r="H890" s="76"/>
      <c r="I890" s="76"/>
      <c r="J890" s="76"/>
      <c r="K890" s="76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spans="1:26" ht="15.75" customHeight="1" x14ac:dyDescent="0.25">
      <c r="A891" s="62"/>
      <c r="B891" s="62"/>
      <c r="C891" s="76"/>
      <c r="D891" s="77"/>
      <c r="E891" s="62"/>
      <c r="F891" s="62"/>
      <c r="G891" s="76"/>
      <c r="H891" s="76"/>
      <c r="I891" s="76"/>
      <c r="J891" s="76"/>
      <c r="K891" s="76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spans="1:26" ht="15.75" customHeight="1" x14ac:dyDescent="0.25">
      <c r="A892" s="62"/>
      <c r="B892" s="62"/>
      <c r="C892" s="76"/>
      <c r="D892" s="77"/>
      <c r="E892" s="62"/>
      <c r="F892" s="62"/>
      <c r="G892" s="76"/>
      <c r="H892" s="76"/>
      <c r="I892" s="76"/>
      <c r="J892" s="76"/>
      <c r="K892" s="76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spans="1:26" ht="15.75" customHeight="1" x14ac:dyDescent="0.25">
      <c r="A893" s="62"/>
      <c r="B893" s="62"/>
      <c r="C893" s="76"/>
      <c r="D893" s="77"/>
      <c r="E893" s="62"/>
      <c r="F893" s="62"/>
      <c r="G893" s="76"/>
      <c r="H893" s="76"/>
      <c r="I893" s="76"/>
      <c r="J893" s="76"/>
      <c r="K893" s="76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spans="1:26" ht="15.75" customHeight="1" x14ac:dyDescent="0.25">
      <c r="A894" s="62"/>
      <c r="B894" s="62"/>
      <c r="C894" s="76"/>
      <c r="D894" s="77"/>
      <c r="E894" s="62"/>
      <c r="F894" s="62"/>
      <c r="G894" s="76"/>
      <c r="H894" s="76"/>
      <c r="I894" s="76"/>
      <c r="J894" s="76"/>
      <c r="K894" s="76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spans="1:26" ht="15.75" customHeight="1" x14ac:dyDescent="0.25">
      <c r="A895" s="62"/>
      <c r="B895" s="62"/>
      <c r="C895" s="76"/>
      <c r="D895" s="77"/>
      <c r="E895" s="62"/>
      <c r="F895" s="62"/>
      <c r="G895" s="76"/>
      <c r="H895" s="76"/>
      <c r="I895" s="76"/>
      <c r="J895" s="76"/>
      <c r="K895" s="76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spans="1:26" ht="15.75" customHeight="1" x14ac:dyDescent="0.25">
      <c r="A896" s="62"/>
      <c r="B896" s="62"/>
      <c r="C896" s="76"/>
      <c r="D896" s="77"/>
      <c r="E896" s="62"/>
      <c r="F896" s="62"/>
      <c r="G896" s="76"/>
      <c r="H896" s="76"/>
      <c r="I896" s="76"/>
      <c r="J896" s="76"/>
      <c r="K896" s="76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spans="1:26" ht="15.75" customHeight="1" x14ac:dyDescent="0.25">
      <c r="A897" s="62"/>
      <c r="B897" s="62"/>
      <c r="C897" s="76"/>
      <c r="D897" s="77"/>
      <c r="E897" s="62"/>
      <c r="F897" s="62"/>
      <c r="G897" s="76"/>
      <c r="H897" s="76"/>
      <c r="I897" s="76"/>
      <c r="J897" s="76"/>
      <c r="K897" s="76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spans="1:26" ht="15.75" customHeight="1" x14ac:dyDescent="0.25">
      <c r="A898" s="62"/>
      <c r="B898" s="62"/>
      <c r="C898" s="76"/>
      <c r="D898" s="77"/>
      <c r="E898" s="62"/>
      <c r="F898" s="62"/>
      <c r="G898" s="76"/>
      <c r="H898" s="76"/>
      <c r="I898" s="76"/>
      <c r="J898" s="76"/>
      <c r="K898" s="76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spans="1:26" ht="15.75" customHeight="1" x14ac:dyDescent="0.25">
      <c r="A899" s="62"/>
      <c r="B899" s="62"/>
      <c r="C899" s="76"/>
      <c r="D899" s="77"/>
      <c r="E899" s="62"/>
      <c r="F899" s="62"/>
      <c r="G899" s="76"/>
      <c r="H899" s="76"/>
      <c r="I899" s="76"/>
      <c r="J899" s="76"/>
      <c r="K899" s="76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spans="1:26" ht="15.75" customHeight="1" x14ac:dyDescent="0.25">
      <c r="A900" s="62"/>
      <c r="B900" s="62"/>
      <c r="C900" s="76"/>
      <c r="D900" s="77"/>
      <c r="E900" s="62"/>
      <c r="F900" s="62"/>
      <c r="G900" s="76"/>
      <c r="H900" s="76"/>
      <c r="I900" s="76"/>
      <c r="J900" s="76"/>
      <c r="K900" s="76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spans="1:26" ht="15.75" customHeight="1" x14ac:dyDescent="0.25">
      <c r="A901" s="62"/>
      <c r="B901" s="62"/>
      <c r="C901" s="76"/>
      <c r="D901" s="77"/>
      <c r="E901" s="62"/>
      <c r="F901" s="62"/>
      <c r="G901" s="76"/>
      <c r="H901" s="76"/>
      <c r="I901" s="76"/>
      <c r="J901" s="76"/>
      <c r="K901" s="76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spans="1:26" ht="15.75" customHeight="1" x14ac:dyDescent="0.25">
      <c r="A902" s="62"/>
      <c r="B902" s="62"/>
      <c r="C902" s="76"/>
      <c r="D902" s="77"/>
      <c r="E902" s="62"/>
      <c r="F902" s="62"/>
      <c r="G902" s="76"/>
      <c r="H902" s="76"/>
      <c r="I902" s="76"/>
      <c r="J902" s="76"/>
      <c r="K902" s="76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spans="1:26" ht="15.75" customHeight="1" x14ac:dyDescent="0.25">
      <c r="A903" s="62"/>
      <c r="B903" s="62"/>
      <c r="C903" s="76"/>
      <c r="D903" s="77"/>
      <c r="E903" s="62"/>
      <c r="F903" s="62"/>
      <c r="G903" s="76"/>
      <c r="H903" s="76"/>
      <c r="I903" s="76"/>
      <c r="J903" s="76"/>
      <c r="K903" s="76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spans="1:26" ht="15.75" customHeight="1" x14ac:dyDescent="0.25">
      <c r="A904" s="62"/>
      <c r="B904" s="62"/>
      <c r="C904" s="76"/>
      <c r="D904" s="77"/>
      <c r="E904" s="62"/>
      <c r="F904" s="62"/>
      <c r="G904" s="76"/>
      <c r="H904" s="76"/>
      <c r="I904" s="76"/>
      <c r="J904" s="76"/>
      <c r="K904" s="76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spans="1:26" ht="15.75" customHeight="1" x14ac:dyDescent="0.25">
      <c r="A905" s="62"/>
      <c r="B905" s="62"/>
      <c r="C905" s="76"/>
      <c r="D905" s="77"/>
      <c r="E905" s="62"/>
      <c r="F905" s="62"/>
      <c r="G905" s="76"/>
      <c r="H905" s="76"/>
      <c r="I905" s="76"/>
      <c r="J905" s="76"/>
      <c r="K905" s="76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spans="1:26" ht="15.75" customHeight="1" x14ac:dyDescent="0.25">
      <c r="A906" s="62"/>
      <c r="B906" s="62"/>
      <c r="C906" s="76"/>
      <c r="D906" s="77"/>
      <c r="E906" s="62"/>
      <c r="F906" s="62"/>
      <c r="G906" s="76"/>
      <c r="H906" s="76"/>
      <c r="I906" s="76"/>
      <c r="J906" s="76"/>
      <c r="K906" s="76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spans="1:26" ht="15.75" customHeight="1" x14ac:dyDescent="0.25">
      <c r="A907" s="62"/>
      <c r="B907" s="62"/>
      <c r="C907" s="76"/>
      <c r="D907" s="77"/>
      <c r="E907" s="62"/>
      <c r="F907" s="62"/>
      <c r="G907" s="76"/>
      <c r="H907" s="76"/>
      <c r="I907" s="76"/>
      <c r="J907" s="76"/>
      <c r="K907" s="76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spans="1:26" ht="15.75" customHeight="1" x14ac:dyDescent="0.25">
      <c r="A908" s="62"/>
      <c r="B908" s="62"/>
      <c r="C908" s="76"/>
      <c r="D908" s="77"/>
      <c r="E908" s="62"/>
      <c r="F908" s="62"/>
      <c r="G908" s="76"/>
      <c r="H908" s="76"/>
      <c r="I908" s="76"/>
      <c r="J908" s="76"/>
      <c r="K908" s="76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spans="1:26" ht="15.75" customHeight="1" x14ac:dyDescent="0.25">
      <c r="A909" s="62"/>
      <c r="B909" s="62"/>
      <c r="C909" s="76"/>
      <c r="D909" s="77"/>
      <c r="E909" s="62"/>
      <c r="F909" s="62"/>
      <c r="G909" s="76"/>
      <c r="H909" s="76"/>
      <c r="I909" s="76"/>
      <c r="J909" s="76"/>
      <c r="K909" s="76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spans="1:26" ht="15.75" customHeight="1" x14ac:dyDescent="0.25">
      <c r="A910" s="62"/>
      <c r="B910" s="62"/>
      <c r="C910" s="76"/>
      <c r="D910" s="77"/>
      <c r="E910" s="62"/>
      <c r="F910" s="62"/>
      <c r="G910" s="76"/>
      <c r="H910" s="76"/>
      <c r="I910" s="76"/>
      <c r="J910" s="76"/>
      <c r="K910" s="76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spans="1:26" ht="15.75" customHeight="1" x14ac:dyDescent="0.25">
      <c r="A911" s="62"/>
      <c r="B911" s="62"/>
      <c r="C911" s="76"/>
      <c r="D911" s="77"/>
      <c r="E911" s="62"/>
      <c r="F911" s="62"/>
      <c r="G911" s="76"/>
      <c r="H911" s="76"/>
      <c r="I911" s="76"/>
      <c r="J911" s="76"/>
      <c r="K911" s="76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spans="1:26" ht="15.75" customHeight="1" x14ac:dyDescent="0.25">
      <c r="A912" s="62"/>
      <c r="B912" s="62"/>
      <c r="C912" s="76"/>
      <c r="D912" s="77"/>
      <c r="E912" s="62"/>
      <c r="F912" s="62"/>
      <c r="G912" s="76"/>
      <c r="H912" s="76"/>
      <c r="I912" s="76"/>
      <c r="J912" s="76"/>
      <c r="K912" s="76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spans="1:26" ht="15.75" customHeight="1" x14ac:dyDescent="0.25">
      <c r="A913" s="62"/>
      <c r="B913" s="62"/>
      <c r="C913" s="76"/>
      <c r="D913" s="77"/>
      <c r="E913" s="62"/>
      <c r="F913" s="62"/>
      <c r="G913" s="76"/>
      <c r="H913" s="76"/>
      <c r="I913" s="76"/>
      <c r="J913" s="76"/>
      <c r="K913" s="76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spans="1:26" ht="15.75" customHeight="1" x14ac:dyDescent="0.25">
      <c r="A914" s="62"/>
      <c r="B914" s="62"/>
      <c r="C914" s="76"/>
      <c r="D914" s="77"/>
      <c r="E914" s="62"/>
      <c r="F914" s="62"/>
      <c r="G914" s="76"/>
      <c r="H914" s="76"/>
      <c r="I914" s="76"/>
      <c r="J914" s="76"/>
      <c r="K914" s="76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spans="1:26" ht="15.75" customHeight="1" x14ac:dyDescent="0.25">
      <c r="A915" s="62"/>
      <c r="B915" s="62"/>
      <c r="C915" s="76"/>
      <c r="D915" s="77"/>
      <c r="E915" s="62"/>
      <c r="F915" s="62"/>
      <c r="G915" s="76"/>
      <c r="H915" s="76"/>
      <c r="I915" s="76"/>
      <c r="J915" s="76"/>
      <c r="K915" s="76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spans="1:26" ht="15.75" customHeight="1" x14ac:dyDescent="0.25">
      <c r="A916" s="62"/>
      <c r="B916" s="62"/>
      <c r="C916" s="76"/>
      <c r="D916" s="77"/>
      <c r="E916" s="62"/>
      <c r="F916" s="62"/>
      <c r="G916" s="76"/>
      <c r="H916" s="76"/>
      <c r="I916" s="76"/>
      <c r="J916" s="76"/>
      <c r="K916" s="76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spans="1:26" ht="15.75" customHeight="1" x14ac:dyDescent="0.25">
      <c r="A917" s="62"/>
      <c r="B917" s="62"/>
      <c r="C917" s="76"/>
      <c r="D917" s="77"/>
      <c r="E917" s="62"/>
      <c r="F917" s="62"/>
      <c r="G917" s="76"/>
      <c r="H917" s="76"/>
      <c r="I917" s="76"/>
      <c r="J917" s="76"/>
      <c r="K917" s="76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spans="1:26" ht="15.75" customHeight="1" x14ac:dyDescent="0.25">
      <c r="A918" s="62"/>
      <c r="B918" s="62"/>
      <c r="C918" s="76"/>
      <c r="D918" s="77"/>
      <c r="E918" s="62"/>
      <c r="F918" s="62"/>
      <c r="G918" s="76"/>
      <c r="H918" s="76"/>
      <c r="I918" s="76"/>
      <c r="J918" s="76"/>
      <c r="K918" s="76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spans="1:26" ht="15.75" customHeight="1" x14ac:dyDescent="0.25">
      <c r="A919" s="62"/>
      <c r="B919" s="62"/>
      <c r="C919" s="76"/>
      <c r="D919" s="77"/>
      <c r="E919" s="62"/>
      <c r="F919" s="62"/>
      <c r="G919" s="76"/>
      <c r="H919" s="76"/>
      <c r="I919" s="76"/>
      <c r="J919" s="76"/>
      <c r="K919" s="76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spans="1:26" ht="15.75" customHeight="1" x14ac:dyDescent="0.25">
      <c r="A920" s="62"/>
      <c r="B920" s="62"/>
      <c r="C920" s="76"/>
      <c r="D920" s="77"/>
      <c r="E920" s="62"/>
      <c r="F920" s="62"/>
      <c r="G920" s="76"/>
      <c r="H920" s="76"/>
      <c r="I920" s="76"/>
      <c r="J920" s="76"/>
      <c r="K920" s="76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spans="1:26" ht="15.75" customHeight="1" x14ac:dyDescent="0.25">
      <c r="A921" s="62"/>
      <c r="B921" s="62"/>
      <c r="C921" s="76"/>
      <c r="D921" s="77"/>
      <c r="E921" s="62"/>
      <c r="F921" s="62"/>
      <c r="G921" s="76"/>
      <c r="H921" s="76"/>
      <c r="I921" s="76"/>
      <c r="J921" s="76"/>
      <c r="K921" s="76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spans="1:26" ht="15.75" customHeight="1" x14ac:dyDescent="0.25">
      <c r="A922" s="62"/>
      <c r="B922" s="62"/>
      <c r="C922" s="76"/>
      <c r="D922" s="77"/>
      <c r="E922" s="62"/>
      <c r="F922" s="62"/>
      <c r="G922" s="76"/>
      <c r="H922" s="76"/>
      <c r="I922" s="76"/>
      <c r="J922" s="76"/>
      <c r="K922" s="76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spans="1:26" ht="15.75" customHeight="1" x14ac:dyDescent="0.25">
      <c r="A923" s="62"/>
      <c r="B923" s="62"/>
      <c r="C923" s="76"/>
      <c r="D923" s="77"/>
      <c r="E923" s="62"/>
      <c r="F923" s="62"/>
      <c r="G923" s="76"/>
      <c r="H923" s="76"/>
      <c r="I923" s="76"/>
      <c r="J923" s="76"/>
      <c r="K923" s="76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spans="1:26" ht="15.75" customHeight="1" x14ac:dyDescent="0.25">
      <c r="A924" s="62"/>
      <c r="B924" s="62"/>
      <c r="C924" s="76"/>
      <c r="D924" s="77"/>
      <c r="E924" s="62"/>
      <c r="F924" s="62"/>
      <c r="G924" s="76"/>
      <c r="H924" s="76"/>
      <c r="I924" s="76"/>
      <c r="J924" s="76"/>
      <c r="K924" s="76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spans="1:26" ht="15.75" customHeight="1" x14ac:dyDescent="0.25">
      <c r="A925" s="62"/>
      <c r="B925" s="62"/>
      <c r="C925" s="76"/>
      <c r="D925" s="77"/>
      <c r="E925" s="62"/>
      <c r="F925" s="62"/>
      <c r="G925" s="76"/>
      <c r="H925" s="76"/>
      <c r="I925" s="76"/>
      <c r="J925" s="76"/>
      <c r="K925" s="76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spans="1:26" ht="15.75" customHeight="1" x14ac:dyDescent="0.25">
      <c r="A926" s="62"/>
      <c r="B926" s="62"/>
      <c r="C926" s="76"/>
      <c r="D926" s="77"/>
      <c r="E926" s="62"/>
      <c r="F926" s="62"/>
      <c r="G926" s="76"/>
      <c r="H926" s="76"/>
      <c r="I926" s="76"/>
      <c r="J926" s="76"/>
      <c r="K926" s="76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spans="1:26" ht="15.75" customHeight="1" x14ac:dyDescent="0.25">
      <c r="A927" s="62"/>
      <c r="B927" s="62"/>
      <c r="C927" s="76"/>
      <c r="D927" s="77"/>
      <c r="E927" s="62"/>
      <c r="F927" s="62"/>
      <c r="G927" s="76"/>
      <c r="H927" s="76"/>
      <c r="I927" s="76"/>
      <c r="J927" s="76"/>
      <c r="K927" s="76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spans="1:26" ht="15.75" customHeight="1" x14ac:dyDescent="0.25">
      <c r="A928" s="62"/>
      <c r="B928" s="62"/>
      <c r="C928" s="76"/>
      <c r="D928" s="77"/>
      <c r="E928" s="62"/>
      <c r="F928" s="62"/>
      <c r="G928" s="76"/>
      <c r="H928" s="76"/>
      <c r="I928" s="76"/>
      <c r="J928" s="76"/>
      <c r="K928" s="76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spans="1:26" ht="15.75" customHeight="1" x14ac:dyDescent="0.25">
      <c r="A929" s="62"/>
      <c r="B929" s="62"/>
      <c r="C929" s="76"/>
      <c r="D929" s="77"/>
      <c r="E929" s="62"/>
      <c r="F929" s="62"/>
      <c r="G929" s="76"/>
      <c r="H929" s="76"/>
      <c r="I929" s="76"/>
      <c r="J929" s="76"/>
      <c r="K929" s="76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spans="1:26" ht="15.75" customHeight="1" x14ac:dyDescent="0.25">
      <c r="A930" s="62"/>
      <c r="B930" s="62"/>
      <c r="C930" s="76"/>
      <c r="D930" s="77"/>
      <c r="E930" s="62"/>
      <c r="F930" s="62"/>
      <c r="G930" s="76"/>
      <c r="H930" s="76"/>
      <c r="I930" s="76"/>
      <c r="J930" s="76"/>
      <c r="K930" s="76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spans="1:26" ht="15.75" customHeight="1" x14ac:dyDescent="0.25">
      <c r="A931" s="62"/>
      <c r="B931" s="62"/>
      <c r="C931" s="76"/>
      <c r="D931" s="77"/>
      <c r="E931" s="62"/>
      <c r="F931" s="62"/>
      <c r="G931" s="76"/>
      <c r="H931" s="76"/>
      <c r="I931" s="76"/>
      <c r="J931" s="76"/>
      <c r="K931" s="76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spans="1:26" ht="15.75" customHeight="1" x14ac:dyDescent="0.25">
      <c r="A932" s="62"/>
      <c r="B932" s="62"/>
      <c r="C932" s="76"/>
      <c r="D932" s="77"/>
      <c r="E932" s="62"/>
      <c r="F932" s="62"/>
      <c r="G932" s="76"/>
      <c r="H932" s="76"/>
      <c r="I932" s="76"/>
      <c r="J932" s="76"/>
      <c r="K932" s="76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spans="1:26" ht="15.75" customHeight="1" x14ac:dyDescent="0.25">
      <c r="A933" s="62"/>
      <c r="B933" s="62"/>
      <c r="C933" s="76"/>
      <c r="D933" s="77"/>
      <c r="E933" s="62"/>
      <c r="F933" s="62"/>
      <c r="G933" s="76"/>
      <c r="H933" s="76"/>
      <c r="I933" s="76"/>
      <c r="J933" s="76"/>
      <c r="K933" s="76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spans="1:26" ht="15.75" customHeight="1" x14ac:dyDescent="0.25">
      <c r="A934" s="62"/>
      <c r="B934" s="62"/>
      <c r="C934" s="76"/>
      <c r="D934" s="77"/>
      <c r="E934" s="62"/>
      <c r="F934" s="62"/>
      <c r="G934" s="76"/>
      <c r="H934" s="76"/>
      <c r="I934" s="76"/>
      <c r="J934" s="76"/>
      <c r="K934" s="76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spans="1:26" ht="15.75" customHeight="1" x14ac:dyDescent="0.25">
      <c r="A935" s="62"/>
      <c r="B935" s="62"/>
      <c r="C935" s="76"/>
      <c r="D935" s="77"/>
      <c r="E935" s="62"/>
      <c r="F935" s="62"/>
      <c r="G935" s="76"/>
      <c r="H935" s="76"/>
      <c r="I935" s="76"/>
      <c r="J935" s="76"/>
      <c r="K935" s="76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spans="1:26" ht="15.75" customHeight="1" x14ac:dyDescent="0.25">
      <c r="A936" s="62"/>
      <c r="B936" s="62"/>
      <c r="C936" s="76"/>
      <c r="D936" s="77"/>
      <c r="E936" s="62"/>
      <c r="F936" s="62"/>
      <c r="G936" s="76"/>
      <c r="H936" s="76"/>
      <c r="I936" s="76"/>
      <c r="J936" s="76"/>
      <c r="K936" s="76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spans="1:26" ht="15.75" customHeight="1" x14ac:dyDescent="0.25">
      <c r="A937" s="62"/>
      <c r="B937" s="62"/>
      <c r="C937" s="76"/>
      <c r="D937" s="77"/>
      <c r="E937" s="62"/>
      <c r="F937" s="62"/>
      <c r="G937" s="76"/>
      <c r="H937" s="76"/>
      <c r="I937" s="76"/>
      <c r="J937" s="76"/>
      <c r="K937" s="76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spans="1:26" ht="15.75" customHeight="1" x14ac:dyDescent="0.25">
      <c r="A938" s="62"/>
      <c r="B938" s="62"/>
      <c r="C938" s="76"/>
      <c r="D938" s="77"/>
      <c r="E938" s="62"/>
      <c r="F938" s="62"/>
      <c r="G938" s="76"/>
      <c r="H938" s="76"/>
      <c r="I938" s="76"/>
      <c r="J938" s="76"/>
      <c r="K938" s="76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spans="1:26" ht="15.75" customHeight="1" x14ac:dyDescent="0.25">
      <c r="A939" s="62"/>
      <c r="B939" s="62"/>
      <c r="C939" s="76"/>
      <c r="D939" s="77"/>
      <c r="E939" s="62"/>
      <c r="F939" s="62"/>
      <c r="G939" s="76"/>
      <c r="H939" s="76"/>
      <c r="I939" s="76"/>
      <c r="J939" s="76"/>
      <c r="K939" s="76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spans="1:26" ht="15.75" customHeight="1" x14ac:dyDescent="0.25">
      <c r="A940" s="62"/>
      <c r="B940" s="62"/>
      <c r="C940" s="76"/>
      <c r="D940" s="77"/>
      <c r="E940" s="62"/>
      <c r="F940" s="62"/>
      <c r="G940" s="76"/>
      <c r="H940" s="76"/>
      <c r="I940" s="76"/>
      <c r="J940" s="76"/>
      <c r="K940" s="76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spans="1:26" ht="15.75" customHeight="1" x14ac:dyDescent="0.25">
      <c r="A941" s="62"/>
      <c r="B941" s="62"/>
      <c r="C941" s="76"/>
      <c r="D941" s="77"/>
      <c r="E941" s="62"/>
      <c r="F941" s="62"/>
      <c r="G941" s="76"/>
      <c r="H941" s="76"/>
      <c r="I941" s="76"/>
      <c r="J941" s="76"/>
      <c r="K941" s="76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spans="1:26" ht="15.75" customHeight="1" x14ac:dyDescent="0.25">
      <c r="A942" s="62"/>
      <c r="B942" s="62"/>
      <c r="C942" s="76"/>
      <c r="D942" s="77"/>
      <c r="E942" s="62"/>
      <c r="F942" s="62"/>
      <c r="G942" s="76"/>
      <c r="H942" s="76"/>
      <c r="I942" s="76"/>
      <c r="J942" s="76"/>
      <c r="K942" s="76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spans="1:26" ht="15.75" customHeight="1" x14ac:dyDescent="0.25">
      <c r="A943" s="62"/>
      <c r="B943" s="62"/>
      <c r="C943" s="76"/>
      <c r="D943" s="77"/>
      <c r="E943" s="62"/>
      <c r="F943" s="62"/>
      <c r="G943" s="76"/>
      <c r="H943" s="76"/>
      <c r="I943" s="76"/>
      <c r="J943" s="76"/>
      <c r="K943" s="76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spans="1:26" ht="15.75" customHeight="1" x14ac:dyDescent="0.25">
      <c r="A944" s="62"/>
      <c r="B944" s="62"/>
      <c r="C944" s="76"/>
      <c r="D944" s="77"/>
      <c r="E944" s="62"/>
      <c r="F944" s="62"/>
      <c r="G944" s="76"/>
      <c r="H944" s="76"/>
      <c r="I944" s="76"/>
      <c r="J944" s="76"/>
      <c r="K944" s="76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spans="1:26" ht="15.75" customHeight="1" x14ac:dyDescent="0.25">
      <c r="A945" s="62"/>
      <c r="B945" s="62"/>
      <c r="C945" s="76"/>
      <c r="D945" s="77"/>
      <c r="E945" s="62"/>
      <c r="F945" s="62"/>
      <c r="G945" s="76"/>
      <c r="H945" s="76"/>
      <c r="I945" s="76"/>
      <c r="J945" s="76"/>
      <c r="K945" s="76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spans="1:26" ht="15.75" customHeight="1" x14ac:dyDescent="0.25">
      <c r="A946" s="62"/>
      <c r="B946" s="62"/>
      <c r="C946" s="76"/>
      <c r="D946" s="77"/>
      <c r="E946" s="62"/>
      <c r="F946" s="62"/>
      <c r="G946" s="76"/>
      <c r="H946" s="76"/>
      <c r="I946" s="76"/>
      <c r="J946" s="76"/>
      <c r="K946" s="76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spans="1:26" ht="15.75" customHeight="1" x14ac:dyDescent="0.25">
      <c r="A947" s="62"/>
      <c r="B947" s="62"/>
      <c r="C947" s="76"/>
      <c r="D947" s="77"/>
      <c r="E947" s="62"/>
      <c r="F947" s="62"/>
      <c r="G947" s="76"/>
      <c r="H947" s="76"/>
      <c r="I947" s="76"/>
      <c r="J947" s="76"/>
      <c r="K947" s="76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spans="1:26" ht="15.75" customHeight="1" x14ac:dyDescent="0.25">
      <c r="A948" s="62"/>
      <c r="B948" s="62"/>
      <c r="C948" s="76"/>
      <c r="D948" s="77"/>
      <c r="E948" s="62"/>
      <c r="F948" s="62"/>
      <c r="G948" s="76"/>
      <c r="H948" s="76"/>
      <c r="I948" s="76"/>
      <c r="J948" s="76"/>
      <c r="K948" s="76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spans="1:26" ht="15.75" customHeight="1" x14ac:dyDescent="0.25">
      <c r="A949" s="62"/>
      <c r="B949" s="62"/>
      <c r="C949" s="76"/>
      <c r="D949" s="77"/>
      <c r="E949" s="62"/>
      <c r="F949" s="62"/>
      <c r="G949" s="76"/>
      <c r="H949" s="76"/>
      <c r="I949" s="76"/>
      <c r="J949" s="76"/>
      <c r="K949" s="76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spans="1:26" ht="15.75" customHeight="1" x14ac:dyDescent="0.25">
      <c r="A950" s="62"/>
      <c r="B950" s="62"/>
      <c r="C950" s="76"/>
      <c r="D950" s="77"/>
      <c r="E950" s="62"/>
      <c r="F950" s="62"/>
      <c r="G950" s="76"/>
      <c r="H950" s="76"/>
      <c r="I950" s="76"/>
      <c r="J950" s="76"/>
      <c r="K950" s="76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spans="1:26" ht="15.75" customHeight="1" x14ac:dyDescent="0.25">
      <c r="A951" s="62"/>
      <c r="B951" s="62"/>
      <c r="C951" s="76"/>
      <c r="D951" s="77"/>
      <c r="E951" s="62"/>
      <c r="F951" s="62"/>
      <c r="G951" s="76"/>
      <c r="H951" s="76"/>
      <c r="I951" s="76"/>
      <c r="J951" s="76"/>
      <c r="K951" s="76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spans="1:26" ht="15.75" customHeight="1" x14ac:dyDescent="0.25">
      <c r="A952" s="62"/>
      <c r="B952" s="62"/>
      <c r="C952" s="76"/>
      <c r="D952" s="77"/>
      <c r="E952" s="62"/>
      <c r="F952" s="62"/>
      <c r="G952" s="76"/>
      <c r="H952" s="76"/>
      <c r="I952" s="76"/>
      <c r="J952" s="76"/>
      <c r="K952" s="76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spans="1:26" ht="15.75" customHeight="1" x14ac:dyDescent="0.25">
      <c r="A953" s="62"/>
      <c r="B953" s="62"/>
      <c r="C953" s="76"/>
      <c r="D953" s="77"/>
      <c r="E953" s="62"/>
      <c r="F953" s="62"/>
      <c r="G953" s="76"/>
      <c r="H953" s="76"/>
      <c r="I953" s="76"/>
      <c r="J953" s="76"/>
      <c r="K953" s="76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spans="1:26" ht="15.75" customHeight="1" x14ac:dyDescent="0.25">
      <c r="A954" s="62"/>
      <c r="B954" s="62"/>
      <c r="C954" s="76"/>
      <c r="D954" s="77"/>
      <c r="E954" s="62"/>
      <c r="F954" s="62"/>
      <c r="G954" s="76"/>
      <c r="H954" s="76"/>
      <c r="I954" s="76"/>
      <c r="J954" s="76"/>
      <c r="K954" s="76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spans="1:26" ht="15.75" customHeight="1" x14ac:dyDescent="0.25">
      <c r="A955" s="62"/>
      <c r="B955" s="62"/>
      <c r="C955" s="76"/>
      <c r="D955" s="77"/>
      <c r="E955" s="62"/>
      <c r="F955" s="62"/>
      <c r="G955" s="76"/>
      <c r="H955" s="76"/>
      <c r="I955" s="76"/>
      <c r="J955" s="76"/>
      <c r="K955" s="76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spans="1:26" ht="15.75" customHeight="1" x14ac:dyDescent="0.25">
      <c r="A956" s="62"/>
      <c r="B956" s="62"/>
      <c r="C956" s="76"/>
      <c r="D956" s="77"/>
      <c r="E956" s="62"/>
      <c r="F956" s="62"/>
      <c r="G956" s="76"/>
      <c r="H956" s="76"/>
      <c r="I956" s="76"/>
      <c r="J956" s="76"/>
      <c r="K956" s="76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spans="1:26" ht="15.75" customHeight="1" x14ac:dyDescent="0.25">
      <c r="A957" s="62"/>
      <c r="B957" s="62"/>
      <c r="C957" s="76"/>
      <c r="D957" s="77"/>
      <c r="E957" s="62"/>
      <c r="F957" s="62"/>
      <c r="G957" s="76"/>
      <c r="H957" s="76"/>
      <c r="I957" s="76"/>
      <c r="J957" s="76"/>
      <c r="K957" s="76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spans="1:26" ht="15.75" customHeight="1" x14ac:dyDescent="0.25">
      <c r="A958" s="62"/>
      <c r="B958" s="62"/>
      <c r="C958" s="76"/>
      <c r="D958" s="77"/>
      <c r="E958" s="62"/>
      <c r="F958" s="62"/>
      <c r="G958" s="76"/>
      <c r="H958" s="76"/>
      <c r="I958" s="76"/>
      <c r="J958" s="76"/>
      <c r="K958" s="76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spans="1:26" ht="15.75" customHeight="1" x14ac:dyDescent="0.25">
      <c r="A959" s="62"/>
      <c r="B959" s="62"/>
      <c r="C959" s="76"/>
      <c r="D959" s="77"/>
      <c r="E959" s="62"/>
      <c r="F959" s="62"/>
      <c r="G959" s="76"/>
      <c r="H959" s="76"/>
      <c r="I959" s="76"/>
      <c r="J959" s="76"/>
      <c r="K959" s="76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spans="1:26" ht="15.75" customHeight="1" x14ac:dyDescent="0.25">
      <c r="A960" s="62"/>
      <c r="B960" s="62"/>
      <c r="C960" s="76"/>
      <c r="D960" s="77"/>
      <c r="E960" s="62"/>
      <c r="F960" s="62"/>
      <c r="G960" s="76"/>
      <c r="H960" s="76"/>
      <c r="I960" s="76"/>
      <c r="J960" s="76"/>
      <c r="K960" s="76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spans="1:26" ht="15.75" customHeight="1" x14ac:dyDescent="0.25">
      <c r="A961" s="62"/>
      <c r="B961" s="62"/>
      <c r="C961" s="76"/>
      <c r="D961" s="77"/>
      <c r="E961" s="62"/>
      <c r="F961" s="62"/>
      <c r="G961" s="76"/>
      <c r="H961" s="76"/>
      <c r="I961" s="76"/>
      <c r="J961" s="76"/>
      <c r="K961" s="76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spans="1:26" ht="15.75" customHeight="1" x14ac:dyDescent="0.25">
      <c r="A962" s="62"/>
      <c r="B962" s="62"/>
      <c r="C962" s="76"/>
      <c r="D962" s="77"/>
      <c r="E962" s="62"/>
      <c r="F962" s="62"/>
      <c r="G962" s="76"/>
      <c r="H962" s="76"/>
      <c r="I962" s="76"/>
      <c r="J962" s="76"/>
      <c r="K962" s="76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spans="1:26" ht="15.75" customHeight="1" x14ac:dyDescent="0.25">
      <c r="A963" s="62"/>
      <c r="B963" s="62"/>
      <c r="C963" s="76"/>
      <c r="D963" s="77"/>
      <c r="E963" s="62"/>
      <c r="F963" s="62"/>
      <c r="G963" s="76"/>
      <c r="H963" s="76"/>
      <c r="I963" s="76"/>
      <c r="J963" s="76"/>
      <c r="K963" s="76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spans="1:26" ht="15.75" customHeight="1" x14ac:dyDescent="0.25">
      <c r="A964" s="62"/>
      <c r="B964" s="62"/>
      <c r="C964" s="76"/>
      <c r="D964" s="77"/>
      <c r="E964" s="62"/>
      <c r="F964" s="62"/>
      <c r="G964" s="76"/>
      <c r="H964" s="76"/>
      <c r="I964" s="76"/>
      <c r="J964" s="76"/>
      <c r="K964" s="76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spans="1:26" ht="15.75" customHeight="1" x14ac:dyDescent="0.25">
      <c r="A965" s="62"/>
      <c r="B965" s="62"/>
      <c r="C965" s="76"/>
      <c r="D965" s="77"/>
      <c r="E965" s="62"/>
      <c r="F965" s="62"/>
      <c r="G965" s="76"/>
      <c r="H965" s="76"/>
      <c r="I965" s="76"/>
      <c r="J965" s="76"/>
      <c r="K965" s="76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spans="1:26" ht="15.75" customHeight="1" x14ac:dyDescent="0.25">
      <c r="A966" s="62"/>
      <c r="B966" s="62"/>
      <c r="C966" s="76"/>
      <c r="D966" s="77"/>
      <c r="E966" s="62"/>
      <c r="F966" s="62"/>
      <c r="G966" s="76"/>
      <c r="H966" s="76"/>
      <c r="I966" s="76"/>
      <c r="J966" s="76"/>
      <c r="K966" s="76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spans="1:26" ht="15.75" customHeight="1" x14ac:dyDescent="0.25">
      <c r="A967" s="62"/>
      <c r="B967" s="62"/>
      <c r="C967" s="76"/>
      <c r="D967" s="77"/>
      <c r="E967" s="62"/>
      <c r="F967" s="62"/>
      <c r="G967" s="76"/>
      <c r="H967" s="76"/>
      <c r="I967" s="76"/>
      <c r="J967" s="76"/>
      <c r="K967" s="76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spans="1:26" ht="15.75" customHeight="1" x14ac:dyDescent="0.25">
      <c r="A968" s="62"/>
      <c r="B968" s="62"/>
      <c r="C968" s="76"/>
      <c r="D968" s="77"/>
      <c r="E968" s="62"/>
      <c r="F968" s="62"/>
      <c r="G968" s="76"/>
      <c r="H968" s="76"/>
      <c r="I968" s="76"/>
      <c r="J968" s="76"/>
      <c r="K968" s="76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spans="1:26" ht="15.75" customHeight="1" x14ac:dyDescent="0.25">
      <c r="A969" s="62"/>
      <c r="B969" s="62"/>
      <c r="C969" s="76"/>
      <c r="D969" s="77"/>
      <c r="E969" s="62"/>
      <c r="F969" s="62"/>
      <c r="G969" s="76"/>
      <c r="H969" s="76"/>
      <c r="I969" s="76"/>
      <c r="J969" s="76"/>
      <c r="K969" s="76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spans="1:26" ht="15.75" customHeight="1" x14ac:dyDescent="0.25">
      <c r="A970" s="62"/>
      <c r="B970" s="62"/>
      <c r="C970" s="76"/>
      <c r="D970" s="77"/>
      <c r="E970" s="62"/>
      <c r="F970" s="62"/>
      <c r="G970" s="76"/>
      <c r="H970" s="76"/>
      <c r="I970" s="76"/>
      <c r="J970" s="76"/>
      <c r="K970" s="76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spans="1:26" ht="15.75" customHeight="1" x14ac:dyDescent="0.25">
      <c r="A971" s="62"/>
      <c r="B971" s="62"/>
      <c r="C971" s="76"/>
      <c r="D971" s="77"/>
      <c r="E971" s="62"/>
      <c r="F971" s="62"/>
      <c r="G971" s="76"/>
      <c r="H971" s="76"/>
      <c r="I971" s="76"/>
      <c r="J971" s="76"/>
      <c r="K971" s="76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spans="1:26" ht="15.75" customHeight="1" x14ac:dyDescent="0.25">
      <c r="A972" s="62"/>
      <c r="B972" s="62"/>
      <c r="C972" s="76"/>
      <c r="D972" s="77"/>
      <c r="E972" s="62"/>
      <c r="F972" s="62"/>
      <c r="G972" s="76"/>
      <c r="H972" s="76"/>
      <c r="I972" s="76"/>
      <c r="J972" s="76"/>
      <c r="K972" s="76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spans="1:26" ht="15.75" customHeight="1" x14ac:dyDescent="0.25">
      <c r="A973" s="62"/>
      <c r="B973" s="62"/>
      <c r="C973" s="76"/>
      <c r="D973" s="77"/>
      <c r="E973" s="62"/>
      <c r="F973" s="62"/>
      <c r="G973" s="76"/>
      <c r="H973" s="76"/>
      <c r="I973" s="76"/>
      <c r="J973" s="76"/>
      <c r="K973" s="76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spans="1:26" ht="15.75" customHeight="1" x14ac:dyDescent="0.25">
      <c r="A974" s="62"/>
      <c r="B974" s="62"/>
      <c r="C974" s="76"/>
      <c r="D974" s="77"/>
      <c r="E974" s="62"/>
      <c r="F974" s="62"/>
      <c r="G974" s="76"/>
      <c r="H974" s="76"/>
      <c r="I974" s="76"/>
      <c r="J974" s="76"/>
      <c r="K974" s="76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spans="1:26" ht="15.75" customHeight="1" x14ac:dyDescent="0.25">
      <c r="A975" s="62"/>
      <c r="B975" s="62"/>
      <c r="C975" s="76"/>
      <c r="D975" s="77"/>
      <c r="E975" s="62"/>
      <c r="F975" s="62"/>
      <c r="G975" s="76"/>
      <c r="H975" s="76"/>
      <c r="I975" s="76"/>
      <c r="J975" s="76"/>
      <c r="K975" s="76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spans="1:26" ht="15.75" customHeight="1" x14ac:dyDescent="0.25">
      <c r="A976" s="62"/>
      <c r="B976" s="62"/>
      <c r="C976" s="76"/>
      <c r="D976" s="77"/>
      <c r="E976" s="62"/>
      <c r="F976" s="62"/>
      <c r="G976" s="76"/>
      <c r="H976" s="76"/>
      <c r="I976" s="76"/>
      <c r="J976" s="76"/>
      <c r="K976" s="76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spans="1:26" ht="15.75" customHeight="1" x14ac:dyDescent="0.25">
      <c r="A977" s="62"/>
      <c r="B977" s="62"/>
      <c r="C977" s="76"/>
      <c r="D977" s="77"/>
      <c r="E977" s="62"/>
      <c r="F977" s="62"/>
      <c r="G977" s="76"/>
      <c r="H977" s="76"/>
      <c r="I977" s="76"/>
      <c r="J977" s="76"/>
      <c r="K977" s="76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spans="1:26" ht="15.75" customHeight="1" x14ac:dyDescent="0.25">
      <c r="A978" s="62"/>
      <c r="B978" s="62"/>
      <c r="C978" s="76"/>
      <c r="D978" s="77"/>
      <c r="E978" s="62"/>
      <c r="F978" s="62"/>
      <c r="G978" s="76"/>
      <c r="H978" s="76"/>
      <c r="I978" s="76"/>
      <c r="J978" s="76"/>
      <c r="K978" s="76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spans="1:26" ht="15.75" customHeight="1" x14ac:dyDescent="0.25">
      <c r="A979" s="62"/>
      <c r="B979" s="62"/>
      <c r="C979" s="76"/>
      <c r="D979" s="77"/>
      <c r="E979" s="62"/>
      <c r="F979" s="62"/>
      <c r="G979" s="76"/>
      <c r="H979" s="76"/>
      <c r="I979" s="76"/>
      <c r="J979" s="76"/>
      <c r="K979" s="76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spans="1:26" ht="15.75" customHeight="1" x14ac:dyDescent="0.25">
      <c r="A980" s="62"/>
      <c r="B980" s="62"/>
      <c r="C980" s="76"/>
      <c r="D980" s="77"/>
      <c r="E980" s="62"/>
      <c r="F980" s="62"/>
      <c r="G980" s="76"/>
      <c r="H980" s="76"/>
      <c r="I980" s="76"/>
      <c r="J980" s="76"/>
      <c r="K980" s="76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spans="1:26" ht="15.75" customHeight="1" x14ac:dyDescent="0.25">
      <c r="A981" s="62"/>
      <c r="B981" s="62"/>
      <c r="C981" s="76"/>
      <c r="D981" s="77"/>
      <c r="E981" s="62"/>
      <c r="F981" s="62"/>
      <c r="G981" s="76"/>
      <c r="H981" s="76"/>
      <c r="I981" s="76"/>
      <c r="J981" s="76"/>
      <c r="K981" s="76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spans="1:26" ht="15.75" customHeight="1" x14ac:dyDescent="0.25">
      <c r="A982" s="62"/>
      <c r="B982" s="62"/>
      <c r="C982" s="76"/>
      <c r="D982" s="77"/>
      <c r="E982" s="62"/>
      <c r="F982" s="62"/>
      <c r="G982" s="76"/>
      <c r="H982" s="76"/>
      <c r="I982" s="76"/>
      <c r="J982" s="76"/>
      <c r="K982" s="76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spans="1:26" ht="15.75" customHeight="1" x14ac:dyDescent="0.25">
      <c r="A983" s="62"/>
      <c r="B983" s="62"/>
      <c r="C983" s="76"/>
      <c r="D983" s="77"/>
      <c r="E983" s="62"/>
      <c r="F983" s="62"/>
      <c r="G983" s="76"/>
      <c r="H983" s="76"/>
      <c r="I983" s="76"/>
      <c r="J983" s="76"/>
      <c r="K983" s="76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spans="1:26" ht="15.75" customHeight="1" x14ac:dyDescent="0.25">
      <c r="A984" s="62"/>
      <c r="B984" s="62"/>
      <c r="C984" s="76"/>
      <c r="D984" s="77"/>
      <c r="E984" s="62"/>
      <c r="F984" s="62"/>
      <c r="G984" s="76"/>
      <c r="H984" s="76"/>
      <c r="I984" s="76"/>
      <c r="J984" s="76"/>
      <c r="K984" s="76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spans="1:26" ht="15.75" customHeight="1" x14ac:dyDescent="0.25">
      <c r="A985" s="62"/>
      <c r="B985" s="62"/>
      <c r="C985" s="76"/>
      <c r="D985" s="77"/>
      <c r="E985" s="62"/>
      <c r="F985" s="62"/>
      <c r="G985" s="76"/>
      <c r="H985" s="76"/>
      <c r="I985" s="76"/>
      <c r="J985" s="76"/>
      <c r="K985" s="76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spans="1:26" ht="15.75" customHeight="1" x14ac:dyDescent="0.25">
      <c r="A986" s="62"/>
      <c r="B986" s="62"/>
      <c r="C986" s="76"/>
      <c r="D986" s="77"/>
      <c r="E986" s="62"/>
      <c r="F986" s="62"/>
      <c r="G986" s="76"/>
      <c r="H986" s="76"/>
      <c r="I986" s="76"/>
      <c r="J986" s="76"/>
      <c r="K986" s="76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spans="1:26" ht="15.75" customHeight="1" x14ac:dyDescent="0.25">
      <c r="A987" s="62"/>
      <c r="B987" s="62"/>
      <c r="C987" s="76"/>
      <c r="D987" s="77"/>
      <c r="E987" s="62"/>
      <c r="F987" s="62"/>
      <c r="G987" s="76"/>
      <c r="H987" s="76"/>
      <c r="I987" s="76"/>
      <c r="J987" s="76"/>
      <c r="K987" s="76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spans="1:26" ht="15.75" customHeight="1" x14ac:dyDescent="0.25">
      <c r="A988" s="62"/>
      <c r="B988" s="62"/>
      <c r="C988" s="76"/>
      <c r="D988" s="77"/>
      <c r="E988" s="62"/>
      <c r="F988" s="62"/>
      <c r="G988" s="76"/>
      <c r="H988" s="76"/>
      <c r="I988" s="76"/>
      <c r="J988" s="76"/>
      <c r="K988" s="76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spans="1:26" ht="15.75" customHeight="1" x14ac:dyDescent="0.25">
      <c r="A989" s="62"/>
      <c r="B989" s="62"/>
      <c r="C989" s="76"/>
      <c r="D989" s="77"/>
      <c r="E989" s="62"/>
      <c r="F989" s="62"/>
      <c r="G989" s="76"/>
      <c r="H989" s="76"/>
      <c r="I989" s="76"/>
      <c r="J989" s="76"/>
      <c r="K989" s="76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spans="1:26" ht="15.75" customHeight="1" x14ac:dyDescent="0.25">
      <c r="A990" s="62"/>
      <c r="B990" s="62"/>
      <c r="C990" s="76"/>
      <c r="D990" s="77"/>
      <c r="E990" s="62"/>
      <c r="F990" s="62"/>
      <c r="G990" s="76"/>
      <c r="H990" s="76"/>
      <c r="I990" s="76"/>
      <c r="J990" s="76"/>
      <c r="K990" s="76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spans="1:26" ht="15.75" customHeight="1" x14ac:dyDescent="0.25">
      <c r="A991" s="62"/>
      <c r="B991" s="62"/>
      <c r="C991" s="76"/>
      <c r="D991" s="77"/>
      <c r="E991" s="62"/>
      <c r="F991" s="62"/>
      <c r="G991" s="76"/>
      <c r="H991" s="76"/>
      <c r="I991" s="76"/>
      <c r="J991" s="76"/>
      <c r="K991" s="76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spans="1:26" ht="15.75" customHeight="1" x14ac:dyDescent="0.25">
      <c r="A992" s="62"/>
      <c r="B992" s="62"/>
      <c r="C992" s="76"/>
      <c r="D992" s="77"/>
      <c r="E992" s="62"/>
      <c r="F992" s="62"/>
      <c r="G992" s="76"/>
      <c r="H992" s="76"/>
      <c r="I992" s="76"/>
      <c r="J992" s="76"/>
      <c r="K992" s="76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spans="1:26" ht="15.75" customHeight="1" x14ac:dyDescent="0.25">
      <c r="A993" s="62"/>
      <c r="B993" s="62"/>
      <c r="C993" s="76"/>
      <c r="D993" s="77"/>
      <c r="E993" s="62"/>
      <c r="F993" s="62"/>
      <c r="G993" s="76"/>
      <c r="H993" s="76"/>
      <c r="I993" s="76"/>
      <c r="J993" s="76"/>
      <c r="K993" s="76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spans="1:26" ht="15.75" customHeight="1" x14ac:dyDescent="0.25">
      <c r="A994" s="62"/>
      <c r="B994" s="62"/>
      <c r="C994" s="76"/>
      <c r="D994" s="77"/>
      <c r="E994" s="62"/>
      <c r="F994" s="62"/>
      <c r="G994" s="76"/>
      <c r="H994" s="76"/>
      <c r="I994" s="76"/>
      <c r="J994" s="76"/>
      <c r="K994" s="76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spans="1:26" ht="15.75" customHeight="1" x14ac:dyDescent="0.25">
      <c r="A995" s="62"/>
      <c r="B995" s="62"/>
      <c r="C995" s="76"/>
      <c r="D995" s="77"/>
      <c r="E995" s="62"/>
      <c r="F995" s="62"/>
      <c r="G995" s="76"/>
      <c r="H995" s="76"/>
      <c r="I995" s="76"/>
      <c r="J995" s="76"/>
      <c r="K995" s="76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spans="1:26" ht="15.75" customHeight="1" x14ac:dyDescent="0.25">
      <c r="A996" s="62"/>
      <c r="B996" s="62"/>
      <c r="C996" s="76"/>
      <c r="D996" s="77"/>
      <c r="E996" s="62"/>
      <c r="F996" s="62"/>
      <c r="G996" s="76"/>
      <c r="H996" s="76"/>
      <c r="I996" s="76"/>
      <c r="J996" s="76"/>
      <c r="K996" s="76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spans="1:26" ht="15.75" customHeight="1" x14ac:dyDescent="0.25">
      <c r="A997" s="62"/>
      <c r="B997" s="62"/>
      <c r="C997" s="76"/>
      <c r="D997" s="77"/>
      <c r="E997" s="62"/>
      <c r="F997" s="62"/>
      <c r="G997" s="76"/>
      <c r="H997" s="76"/>
      <c r="I997" s="76"/>
      <c r="J997" s="76"/>
      <c r="K997" s="76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spans="1:26" ht="15.75" customHeight="1" x14ac:dyDescent="0.25">
      <c r="A998" s="62"/>
      <c r="B998" s="62"/>
      <c r="C998" s="76"/>
      <c r="D998" s="77"/>
      <c r="E998" s="62"/>
      <c r="F998" s="62"/>
      <c r="G998" s="76"/>
      <c r="H998" s="76"/>
      <c r="I998" s="76"/>
      <c r="J998" s="76"/>
      <c r="K998" s="76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spans="1:26" ht="15.75" customHeight="1" x14ac:dyDescent="0.25">
      <c r="A999" s="62"/>
      <c r="B999" s="62"/>
      <c r="C999" s="76"/>
      <c r="D999" s="77"/>
      <c r="E999" s="62"/>
      <c r="F999" s="62"/>
      <c r="G999" s="76"/>
      <c r="H999" s="76"/>
      <c r="I999" s="76"/>
      <c r="J999" s="76"/>
      <c r="K999" s="76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spans="1:26" ht="15.75" customHeight="1" x14ac:dyDescent="0.25">
      <c r="A1000" s="62"/>
      <c r="B1000" s="62"/>
      <c r="C1000" s="76"/>
      <c r="D1000" s="77"/>
      <c r="E1000" s="62"/>
      <c r="F1000" s="62"/>
      <c r="G1000" s="76"/>
      <c r="H1000" s="76"/>
      <c r="I1000" s="76"/>
      <c r="J1000" s="76"/>
      <c r="K1000" s="76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4">
    <mergeCell ref="B2:C2"/>
    <mergeCell ref="B13:C13"/>
    <mergeCell ref="B23:C23"/>
    <mergeCell ref="B37:C37"/>
  </mergeCells>
  <dataValidations count="1">
    <dataValidation type="list" allowBlank="1" showErrorMessage="1" sqref="C11" xr:uid="{00000000-0002-0000-0700-000000000000}">
      <formula1>"Ja,Nei"</formula1>
    </dataValidation>
  </dataValidation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/>
  </sheetViews>
  <sheetFormatPr baseColWidth="10" defaultColWidth="12.5703125" defaultRowHeight="15" customHeight="1" x14ac:dyDescent="0.2"/>
  <cols>
    <col min="1" max="1" width="2.5703125" customWidth="1"/>
    <col min="2" max="2" width="28.5703125" customWidth="1"/>
    <col min="3" max="3" width="13" customWidth="1"/>
    <col min="4" max="4" width="16.5703125" customWidth="1"/>
    <col min="5" max="5" width="2.85546875" customWidth="1"/>
    <col min="6" max="6" width="10.85546875" customWidth="1"/>
    <col min="7" max="7" width="12.42578125" customWidth="1"/>
    <col min="8" max="8" width="11.42578125" customWidth="1"/>
    <col min="9" max="10" width="10.85546875" customWidth="1"/>
    <col min="11" max="11" width="14.85546875" customWidth="1"/>
    <col min="12" max="14" width="10.85546875" customWidth="1"/>
    <col min="15" max="26" width="10.5703125" customWidth="1"/>
  </cols>
  <sheetData>
    <row r="1" spans="1:26" ht="36" customHeight="1" x14ac:dyDescent="0.25">
      <c r="A1" s="62"/>
      <c r="B1" s="62"/>
      <c r="C1" s="76"/>
      <c r="D1" s="77"/>
      <c r="E1" s="62"/>
      <c r="F1" s="62"/>
      <c r="G1" s="76"/>
      <c r="H1" s="76"/>
      <c r="I1" s="76"/>
      <c r="J1" s="76"/>
      <c r="K1" s="76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x14ac:dyDescent="0.25">
      <c r="A2" s="62"/>
      <c r="B2" s="176" t="s">
        <v>73</v>
      </c>
      <c r="C2" s="177"/>
      <c r="D2" s="77"/>
      <c r="E2" s="62"/>
      <c r="F2" s="78" t="s">
        <v>74</v>
      </c>
      <c r="G2" s="78" t="s">
        <v>75</v>
      </c>
      <c r="H2" s="78" t="s">
        <v>76</v>
      </c>
      <c r="I2" s="78" t="s">
        <v>77</v>
      </c>
      <c r="J2" s="78" t="s">
        <v>78</v>
      </c>
      <c r="K2" s="78" t="s">
        <v>79</v>
      </c>
      <c r="L2" s="79" t="s">
        <v>80</v>
      </c>
      <c r="M2" s="79" t="s">
        <v>81</v>
      </c>
      <c r="N2" s="79" t="s">
        <v>82</v>
      </c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x14ac:dyDescent="0.25">
      <c r="A3" s="62"/>
      <c r="B3" s="78" t="s">
        <v>8</v>
      </c>
      <c r="C3" s="80">
        <f>'Sammenligning A og B'!G14</f>
        <v>2040000</v>
      </c>
      <c r="D3" s="77"/>
      <c r="E3" s="62"/>
      <c r="F3" s="78">
        <v>0</v>
      </c>
      <c r="G3" s="78"/>
      <c r="H3" s="78"/>
      <c r="I3" s="78"/>
      <c r="J3" s="81">
        <f>C14</f>
        <v>2040950</v>
      </c>
      <c r="K3" s="81"/>
      <c r="L3" s="81"/>
      <c r="M3" s="81"/>
      <c r="N3" s="81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26" x14ac:dyDescent="0.25">
      <c r="A4" s="62"/>
      <c r="B4" s="78" t="s">
        <v>83</v>
      </c>
      <c r="C4" s="82">
        <f>'Sammenligning A og B'!C13</f>
        <v>2.5</v>
      </c>
      <c r="D4" s="77"/>
      <c r="E4" s="62"/>
      <c r="F4" s="83">
        <f t="shared" ref="F4:F258" si="0">IF(F3&lt;&gt;"",IF(J3&gt;1,F3+1,""),"")</f>
        <v>1</v>
      </c>
      <c r="G4" s="84">
        <f t="shared" ref="G4:G258" si="1">IF(F4&lt;&gt;"",IF(J3&gt;$C$15,$C$15,J3+H4),"")</f>
        <v>8114.2199844205015</v>
      </c>
      <c r="H4" s="84">
        <f t="shared" ref="H4:H258" si="2">IF(F4&lt;&gt;"",J3*$C$4%/$C$7+$C$8,"")</f>
        <v>4301.979166666667</v>
      </c>
      <c r="I4" s="84">
        <f t="shared" ref="I4:I258" si="3">IF(F4&lt;&gt;"",IF(F4&gt;$C$6*$C$7,G4-H4,0),"")</f>
        <v>3812.2408177538346</v>
      </c>
      <c r="J4" s="84">
        <f t="shared" ref="J4:J258" si="4">IF(F4&lt;&gt;"",J3-I4-K4,"")</f>
        <v>2037137.7591822462</v>
      </c>
      <c r="K4" s="85"/>
      <c r="L4" s="86" t="s">
        <v>84</v>
      </c>
      <c r="M4" s="87">
        <f t="shared" ref="M4:N4" si="5">SUM(H4:H15)</f>
        <v>51095.909606787434</v>
      </c>
      <c r="N4" s="87">
        <f t="shared" si="5"/>
        <v>46274.73020625858</v>
      </c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26" x14ac:dyDescent="0.25">
      <c r="A5" s="76"/>
      <c r="B5" s="78" t="s">
        <v>85</v>
      </c>
      <c r="C5" s="80">
        <v>30</v>
      </c>
      <c r="D5" s="77"/>
      <c r="E5" s="62"/>
      <c r="F5" s="83">
        <f t="shared" si="0"/>
        <v>2</v>
      </c>
      <c r="G5" s="84">
        <f t="shared" si="1"/>
        <v>8114.2199844205015</v>
      </c>
      <c r="H5" s="84">
        <f t="shared" si="2"/>
        <v>4294.0369982963466</v>
      </c>
      <c r="I5" s="84">
        <f t="shared" si="3"/>
        <v>3820.1829861241549</v>
      </c>
      <c r="J5" s="84">
        <f t="shared" si="4"/>
        <v>2033317.576196122</v>
      </c>
      <c r="K5" s="85"/>
      <c r="L5" s="86" t="s">
        <v>86</v>
      </c>
      <c r="M5" s="87">
        <f t="shared" ref="M5:N5" si="6">SUM(H16:H27)</f>
        <v>49925.69308255316</v>
      </c>
      <c r="N5" s="87">
        <f t="shared" si="6"/>
        <v>47444.946730492862</v>
      </c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x14ac:dyDescent="0.25">
      <c r="A6" s="62"/>
      <c r="B6" s="78" t="s">
        <v>41</v>
      </c>
      <c r="C6" s="80">
        <f>'Sammenligning A og B'!E9</f>
        <v>0</v>
      </c>
      <c r="D6" s="77"/>
      <c r="E6" s="62"/>
      <c r="F6" s="83">
        <f t="shared" si="0"/>
        <v>3</v>
      </c>
      <c r="G6" s="84">
        <f t="shared" si="1"/>
        <v>8114.2199844205015</v>
      </c>
      <c r="H6" s="84">
        <f t="shared" si="2"/>
        <v>4286.078283741921</v>
      </c>
      <c r="I6" s="84">
        <f t="shared" si="3"/>
        <v>3828.1417006785805</v>
      </c>
      <c r="J6" s="84">
        <f t="shared" si="4"/>
        <v>2029489.4344954435</v>
      </c>
      <c r="K6" s="85"/>
      <c r="L6" s="86" t="s">
        <v>87</v>
      </c>
      <c r="M6" s="87">
        <f t="shared" ref="M6:N6" si="7">SUM(H28:H39)</f>
        <v>48725.883588084667</v>
      </c>
      <c r="N6" s="87">
        <f t="shared" si="7"/>
        <v>48644.756224961347</v>
      </c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x14ac:dyDescent="0.25">
      <c r="A7" s="62"/>
      <c r="B7" s="78" t="s">
        <v>88</v>
      </c>
      <c r="C7" s="80">
        <v>12</v>
      </c>
      <c r="D7" s="77"/>
      <c r="E7" s="62"/>
      <c r="F7" s="83">
        <f t="shared" si="0"/>
        <v>4</v>
      </c>
      <c r="G7" s="84">
        <f t="shared" si="1"/>
        <v>8114.2199844205015</v>
      </c>
      <c r="H7" s="84">
        <f t="shared" si="2"/>
        <v>4278.1029885321741</v>
      </c>
      <c r="I7" s="84">
        <f t="shared" si="3"/>
        <v>3836.1169958883274</v>
      </c>
      <c r="J7" s="84">
        <f t="shared" si="4"/>
        <v>2025653.3174995552</v>
      </c>
      <c r="K7" s="85"/>
      <c r="L7" s="86" t="s">
        <v>89</v>
      </c>
      <c r="M7" s="87">
        <f t="shared" ref="M7:N7" si="8">SUM(H40:H51)</f>
        <v>47495.732762827167</v>
      </c>
      <c r="N7" s="87">
        <f t="shared" si="8"/>
        <v>49874.907050218855</v>
      </c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x14ac:dyDescent="0.25">
      <c r="A8" s="62"/>
      <c r="B8" s="78" t="s">
        <v>90</v>
      </c>
      <c r="C8" s="80">
        <v>50</v>
      </c>
      <c r="D8" s="77"/>
      <c r="E8" s="62"/>
      <c r="F8" s="83">
        <f t="shared" si="0"/>
        <v>5</v>
      </c>
      <c r="G8" s="84">
        <f t="shared" si="1"/>
        <v>8114.2199844205015</v>
      </c>
      <c r="H8" s="84">
        <f t="shared" si="2"/>
        <v>4270.1110781240741</v>
      </c>
      <c r="I8" s="84">
        <f t="shared" si="3"/>
        <v>3844.1089062964274</v>
      </c>
      <c r="J8" s="84">
        <f t="shared" si="4"/>
        <v>2021809.2085932589</v>
      </c>
      <c r="K8" s="85"/>
      <c r="L8" s="86" t="s">
        <v>91</v>
      </c>
      <c r="M8" s="87">
        <f t="shared" ref="M8:N8" si="9">SUM(H52:H63)</f>
        <v>46234.473321342171</v>
      </c>
      <c r="N8" s="87">
        <f t="shared" si="9"/>
        <v>51136.166491703843</v>
      </c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x14ac:dyDescent="0.25">
      <c r="A9" s="62"/>
      <c r="B9" s="78" t="s">
        <v>92</v>
      </c>
      <c r="C9" s="80"/>
      <c r="D9" s="77"/>
      <c r="E9" s="62"/>
      <c r="F9" s="83">
        <f t="shared" si="0"/>
        <v>6</v>
      </c>
      <c r="G9" s="84">
        <f t="shared" si="1"/>
        <v>8114.2199844205015</v>
      </c>
      <c r="H9" s="84">
        <f t="shared" si="2"/>
        <v>4262.1025179026228</v>
      </c>
      <c r="I9" s="84">
        <f t="shared" si="3"/>
        <v>3852.1174665178787</v>
      </c>
      <c r="J9" s="84">
        <f t="shared" si="4"/>
        <v>2017957.0911267409</v>
      </c>
      <c r="K9" s="85"/>
      <c r="L9" s="86" t="s">
        <v>93</v>
      </c>
      <c r="M9" s="87">
        <f t="shared" ref="M9:N9" si="10">SUM(H64:H75)</f>
        <v>44941.318574726429</v>
      </c>
      <c r="N9" s="87">
        <f t="shared" si="10"/>
        <v>52429.321238319586</v>
      </c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x14ac:dyDescent="0.25">
      <c r="A10" s="62"/>
      <c r="B10" s="78" t="s">
        <v>94</v>
      </c>
      <c r="C10" s="80">
        <v>950</v>
      </c>
      <c r="D10" s="77"/>
      <c r="E10" s="62"/>
      <c r="F10" s="83">
        <f t="shared" si="0"/>
        <v>7</v>
      </c>
      <c r="G10" s="84">
        <f t="shared" si="1"/>
        <v>8114.2199844205015</v>
      </c>
      <c r="H10" s="84">
        <f t="shared" si="2"/>
        <v>4254.077273180711</v>
      </c>
      <c r="I10" s="84">
        <f t="shared" si="3"/>
        <v>3860.1427112397905</v>
      </c>
      <c r="J10" s="84">
        <f t="shared" si="4"/>
        <v>2014096.948415501</v>
      </c>
      <c r="K10" s="85"/>
      <c r="L10" s="86" t="s">
        <v>95</v>
      </c>
      <c r="M10" s="87">
        <f t="shared" ref="M10:N10" si="11">SUM(H76:H87)</f>
        <v>43615.461939928166</v>
      </c>
      <c r="N10" s="87">
        <f t="shared" si="11"/>
        <v>53755.177873117857</v>
      </c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x14ac:dyDescent="0.25">
      <c r="A11" s="62"/>
      <c r="B11" s="89" t="s">
        <v>96</v>
      </c>
      <c r="C11" s="90" t="s">
        <v>97</v>
      </c>
      <c r="D11" s="77"/>
      <c r="E11" s="62"/>
      <c r="F11" s="83">
        <f t="shared" si="0"/>
        <v>8</v>
      </c>
      <c r="G11" s="84">
        <f t="shared" si="1"/>
        <v>8114.2199844205015</v>
      </c>
      <c r="H11" s="84">
        <f t="shared" si="2"/>
        <v>4246.0353091989609</v>
      </c>
      <c r="I11" s="84">
        <f t="shared" si="3"/>
        <v>3868.1846752215406</v>
      </c>
      <c r="J11" s="84">
        <f t="shared" si="4"/>
        <v>2010228.7637402795</v>
      </c>
      <c r="K11" s="85"/>
      <c r="L11" s="86" t="s">
        <v>98</v>
      </c>
      <c r="M11" s="87">
        <f t="shared" ref="M11:N11" si="12">SUM(H88:H99)</f>
        <v>42256.076436654796</v>
      </c>
      <c r="N11" s="87">
        <f t="shared" si="12"/>
        <v>55114.563376391226</v>
      </c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x14ac:dyDescent="0.25">
      <c r="A12" s="62"/>
      <c r="B12" s="62"/>
      <c r="C12" s="76"/>
      <c r="D12" s="77"/>
      <c r="E12" s="76"/>
      <c r="F12" s="83">
        <f t="shared" si="0"/>
        <v>9</v>
      </c>
      <c r="G12" s="84">
        <f t="shared" si="1"/>
        <v>8114.2199844205015</v>
      </c>
      <c r="H12" s="84">
        <f t="shared" si="2"/>
        <v>4237.9765911255827</v>
      </c>
      <c r="I12" s="84">
        <f t="shared" si="3"/>
        <v>3876.2433932949189</v>
      </c>
      <c r="J12" s="84">
        <f t="shared" si="4"/>
        <v>2006352.5203469845</v>
      </c>
      <c r="K12" s="85"/>
      <c r="L12" s="86" t="s">
        <v>99</v>
      </c>
      <c r="M12" s="87">
        <f t="shared" ref="M12:N12" si="13">SUM(H100:H111)</f>
        <v>40862.314171558173</v>
      </c>
      <c r="N12" s="87">
        <f t="shared" si="13"/>
        <v>56508.325641487841</v>
      </c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x14ac:dyDescent="0.25">
      <c r="A13" s="62"/>
      <c r="B13" s="176" t="s">
        <v>100</v>
      </c>
      <c r="C13" s="177"/>
      <c r="D13" s="91" t="s">
        <v>101</v>
      </c>
      <c r="E13" s="76"/>
      <c r="F13" s="83">
        <f t="shared" si="0"/>
        <v>10</v>
      </c>
      <c r="G13" s="84">
        <f t="shared" si="1"/>
        <v>8114.2199844205015</v>
      </c>
      <c r="H13" s="84">
        <f t="shared" si="2"/>
        <v>4229.9010840562178</v>
      </c>
      <c r="I13" s="84">
        <f t="shared" si="3"/>
        <v>3884.3189003642838</v>
      </c>
      <c r="J13" s="84">
        <f t="shared" si="4"/>
        <v>2002468.2014466203</v>
      </c>
      <c r="K13" s="85"/>
      <c r="L13" s="86" t="s">
        <v>102</v>
      </c>
      <c r="M13" s="87">
        <f t="shared" ref="M13:N13" si="14">SUM(H112:H123)</f>
        <v>39433.305809375743</v>
      </c>
      <c r="N13" s="87">
        <f t="shared" si="14"/>
        <v>57937.334003670272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x14ac:dyDescent="0.25">
      <c r="A14" s="62"/>
      <c r="B14" s="92" t="s">
        <v>103</v>
      </c>
      <c r="C14" s="84">
        <f>C3+IF(C11="Ja",C9+C10,0)</f>
        <v>2040950</v>
      </c>
      <c r="D14" s="84"/>
      <c r="E14" s="76"/>
      <c r="F14" s="83">
        <f t="shared" si="0"/>
        <v>11</v>
      </c>
      <c r="G14" s="84">
        <f t="shared" si="1"/>
        <v>8114.2199844205015</v>
      </c>
      <c r="H14" s="84">
        <f t="shared" si="2"/>
        <v>4221.8087530137927</v>
      </c>
      <c r="I14" s="84">
        <f t="shared" si="3"/>
        <v>3892.4112314067088</v>
      </c>
      <c r="J14" s="84">
        <f t="shared" si="4"/>
        <v>1998575.7902152136</v>
      </c>
      <c r="K14" s="80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x14ac:dyDescent="0.25">
      <c r="A15" s="62"/>
      <c r="B15" s="78" t="s">
        <v>104</v>
      </c>
      <c r="C15" s="84">
        <f>IFERROR(PMT(C4%/C7,(C5-C6)*C7,C14)*-1+C8,"")</f>
        <v>8114.2199844205015</v>
      </c>
      <c r="D15" s="84"/>
      <c r="E15" s="62"/>
      <c r="F15" s="83">
        <f t="shared" si="0"/>
        <v>12</v>
      </c>
      <c r="G15" s="84">
        <f t="shared" si="1"/>
        <v>8114.2199844205015</v>
      </c>
      <c r="H15" s="84">
        <f t="shared" si="2"/>
        <v>4213.6995629483617</v>
      </c>
      <c r="I15" s="84">
        <f t="shared" si="3"/>
        <v>3900.5204214721398</v>
      </c>
      <c r="J15" s="84">
        <f t="shared" si="4"/>
        <v>1994675.2697937414</v>
      </c>
      <c r="K15" s="80"/>
      <c r="L15" s="76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x14ac:dyDescent="0.25">
      <c r="A16" s="62"/>
      <c r="B16" s="78" t="s">
        <v>105</v>
      </c>
      <c r="C16" s="84">
        <f>IFERROR(C15*C7*(C5-C6)+(C15*C6*C7),"")</f>
        <v>2921119.1943913805</v>
      </c>
      <c r="D16" s="84" t="str">
        <f>IF(SUM(K:K)&lt;&gt;0, SUM(H:I)-C16,"")</f>
        <v/>
      </c>
      <c r="E16" s="62"/>
      <c r="F16" s="83">
        <f t="shared" si="0"/>
        <v>13</v>
      </c>
      <c r="G16" s="84">
        <f t="shared" si="1"/>
        <v>8114.2199844205015</v>
      </c>
      <c r="H16" s="84">
        <f t="shared" si="2"/>
        <v>4205.5734787369611</v>
      </c>
      <c r="I16" s="84">
        <f t="shared" si="3"/>
        <v>3908.6465056835405</v>
      </c>
      <c r="J16" s="84">
        <f t="shared" si="4"/>
        <v>1990766.623288058</v>
      </c>
      <c r="K16" s="80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x14ac:dyDescent="0.25">
      <c r="A17" s="62"/>
      <c r="B17" s="78" t="s">
        <v>76</v>
      </c>
      <c r="C17" s="84">
        <f>IFERROR(C16-C14,"")</f>
        <v>880169.19439138053</v>
      </c>
      <c r="D17" s="84" t="str">
        <f>IF(SUM(K:K)&lt;&gt;0, SUM(H:H)-C17,"")</f>
        <v/>
      </c>
      <c r="E17" s="62"/>
      <c r="F17" s="83">
        <f t="shared" si="0"/>
        <v>14</v>
      </c>
      <c r="G17" s="84">
        <f t="shared" si="1"/>
        <v>8114.2199844205015</v>
      </c>
      <c r="H17" s="84">
        <f t="shared" si="2"/>
        <v>4197.4304651834545</v>
      </c>
      <c r="I17" s="84">
        <f t="shared" si="3"/>
        <v>3916.789519237047</v>
      </c>
      <c r="J17" s="84">
        <f t="shared" si="4"/>
        <v>1986849.8337688209</v>
      </c>
      <c r="K17" s="80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x14ac:dyDescent="0.25">
      <c r="A18" s="62"/>
      <c r="B18" s="78" t="s">
        <v>106</v>
      </c>
      <c r="C18" s="84">
        <f>C9+C10</f>
        <v>950</v>
      </c>
      <c r="D18" s="84"/>
      <c r="E18" s="62"/>
      <c r="F18" s="83">
        <f t="shared" si="0"/>
        <v>15</v>
      </c>
      <c r="G18" s="84">
        <f t="shared" si="1"/>
        <v>8114.2199844205015</v>
      </c>
      <c r="H18" s="84">
        <f t="shared" si="2"/>
        <v>4189.270487018377</v>
      </c>
      <c r="I18" s="84">
        <f t="shared" si="3"/>
        <v>3924.9494974021245</v>
      </c>
      <c r="J18" s="84">
        <f t="shared" si="4"/>
        <v>1982924.8842714187</v>
      </c>
      <c r="K18" s="80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x14ac:dyDescent="0.25">
      <c r="A19" s="62"/>
      <c r="B19" s="78" t="s">
        <v>107</v>
      </c>
      <c r="C19" s="84">
        <f>SUM(C17:C18)</f>
        <v>881119.19439138053</v>
      </c>
      <c r="D19" s="84" t="str">
        <f>IFERROR(D17+D18,"")</f>
        <v/>
      </c>
      <c r="E19" s="62"/>
      <c r="F19" s="83">
        <f t="shared" si="0"/>
        <v>16</v>
      </c>
      <c r="G19" s="84">
        <f t="shared" si="1"/>
        <v>8114.2199844205015</v>
      </c>
      <c r="H19" s="84">
        <f t="shared" si="2"/>
        <v>4181.093508898789</v>
      </c>
      <c r="I19" s="84">
        <f t="shared" si="3"/>
        <v>3933.1264755217126</v>
      </c>
      <c r="J19" s="84">
        <f t="shared" si="4"/>
        <v>1978991.7577958968</v>
      </c>
      <c r="K19" s="80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x14ac:dyDescent="0.25">
      <c r="A20" s="62"/>
      <c r="B20" s="78" t="s">
        <v>108</v>
      </c>
      <c r="C20" s="93">
        <f>IFERROR($C$19/$C$3%,"")</f>
        <v>43.192117372126496</v>
      </c>
      <c r="D20" s="93" t="str">
        <f>IFERROR($D$19/$C$3%,"")</f>
        <v/>
      </c>
      <c r="E20" s="62"/>
      <c r="F20" s="83">
        <f t="shared" si="0"/>
        <v>17</v>
      </c>
      <c r="G20" s="84">
        <f t="shared" si="1"/>
        <v>8114.2199844205015</v>
      </c>
      <c r="H20" s="84">
        <f t="shared" si="2"/>
        <v>4172.8994954081181</v>
      </c>
      <c r="I20" s="84">
        <f t="shared" si="3"/>
        <v>3941.3204890123834</v>
      </c>
      <c r="J20" s="84">
        <f t="shared" si="4"/>
        <v>1975050.4373068844</v>
      </c>
      <c r="K20" s="80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75" customHeight="1" x14ac:dyDescent="0.25">
      <c r="A21" s="62"/>
      <c r="B21" s="89" t="s">
        <v>109</v>
      </c>
      <c r="C21" s="84">
        <f>C8*C7*C5</f>
        <v>18000</v>
      </c>
      <c r="D21" s="94"/>
      <c r="E21" s="62"/>
      <c r="F21" s="83">
        <f t="shared" si="0"/>
        <v>18</v>
      </c>
      <c r="G21" s="84">
        <f t="shared" si="1"/>
        <v>8114.2199844205015</v>
      </c>
      <c r="H21" s="84">
        <f t="shared" si="2"/>
        <v>4164.6884110560095</v>
      </c>
      <c r="I21" s="84">
        <f t="shared" si="3"/>
        <v>3949.531573364492</v>
      </c>
      <c r="J21" s="84">
        <f t="shared" si="4"/>
        <v>1971100.9057335199</v>
      </c>
      <c r="K21" s="80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75" customHeight="1" x14ac:dyDescent="0.25">
      <c r="A22" s="62"/>
      <c r="B22" s="62"/>
      <c r="C22" s="76"/>
      <c r="D22" s="95"/>
      <c r="E22" s="62"/>
      <c r="F22" s="83">
        <f t="shared" si="0"/>
        <v>19</v>
      </c>
      <c r="G22" s="84">
        <f t="shared" si="1"/>
        <v>8114.2199844205015</v>
      </c>
      <c r="H22" s="84">
        <f t="shared" si="2"/>
        <v>4156.4602202781671</v>
      </c>
      <c r="I22" s="84">
        <f t="shared" si="3"/>
        <v>3957.7597641423345</v>
      </c>
      <c r="J22" s="84">
        <f t="shared" si="4"/>
        <v>1967143.1459693776</v>
      </c>
      <c r="K22" s="80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5.75" customHeight="1" x14ac:dyDescent="0.25">
      <c r="A23" s="62"/>
      <c r="B23" s="176" t="s">
        <v>110</v>
      </c>
      <c r="C23" s="177"/>
      <c r="D23" s="91" t="s">
        <v>111</v>
      </c>
      <c r="E23" s="62"/>
      <c r="F23" s="83">
        <f t="shared" si="0"/>
        <v>20</v>
      </c>
      <c r="G23" s="84">
        <f t="shared" si="1"/>
        <v>8114.2199844205015</v>
      </c>
      <c r="H23" s="84">
        <f t="shared" si="2"/>
        <v>4148.2148874362038</v>
      </c>
      <c r="I23" s="84">
        <f t="shared" si="3"/>
        <v>3966.0050969842978</v>
      </c>
      <c r="J23" s="84">
        <f t="shared" si="4"/>
        <v>1963177.1408723933</v>
      </c>
      <c r="K23" s="80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75" customHeight="1" x14ac:dyDescent="0.25">
      <c r="A24" s="96">
        <f>3-$C$6</f>
        <v>3</v>
      </c>
      <c r="B24" s="78" t="str">
        <f t="shared" ref="B24:B35" si="15">A24+$C$6&amp;" år"</f>
        <v>3 år</v>
      </c>
      <c r="C24" s="84">
        <f t="shared" ref="C24:C35" si="16">IFERROR((PMT($C$4%/$C$7,A24*$C$7,$C$14)*-1)*$C$7*A24-$C$14+($C$15*$C$6*$C$7)+$C$8*$C$5*$C$7+$C$18,"")</f>
        <v>98566.487898637075</v>
      </c>
      <c r="D24" s="97">
        <f t="shared" ref="D24:D35" si="17">IFERROR(C24/$C$3%,"")</f>
        <v>4.8316905832665231</v>
      </c>
      <c r="E24" s="62"/>
      <c r="F24" s="83">
        <f t="shared" si="0"/>
        <v>21</v>
      </c>
      <c r="G24" s="84">
        <f t="shared" si="1"/>
        <v>8114.2199844205015</v>
      </c>
      <c r="H24" s="84">
        <f t="shared" si="2"/>
        <v>4139.9523768174859</v>
      </c>
      <c r="I24" s="84">
        <f t="shared" si="3"/>
        <v>3974.2676076030157</v>
      </c>
      <c r="J24" s="84">
        <f t="shared" si="4"/>
        <v>1959202.8732647903</v>
      </c>
      <c r="K24" s="80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75" customHeight="1" x14ac:dyDescent="0.25">
      <c r="A25" s="96">
        <f>4-$C$6</f>
        <v>4</v>
      </c>
      <c r="B25" s="78" t="str">
        <f t="shared" si="15"/>
        <v>4 år</v>
      </c>
      <c r="C25" s="84">
        <f t="shared" si="16"/>
        <v>124821.49211144727</v>
      </c>
      <c r="D25" s="97">
        <f t="shared" si="17"/>
        <v>6.1187005936983958</v>
      </c>
      <c r="E25" s="62"/>
      <c r="F25" s="83">
        <f t="shared" si="0"/>
        <v>22</v>
      </c>
      <c r="G25" s="84">
        <f t="shared" si="1"/>
        <v>8114.2199844205015</v>
      </c>
      <c r="H25" s="84">
        <f t="shared" si="2"/>
        <v>4131.6726526349794</v>
      </c>
      <c r="I25" s="84">
        <f t="shared" si="3"/>
        <v>3982.5473317855221</v>
      </c>
      <c r="J25" s="84">
        <f t="shared" si="4"/>
        <v>1955220.3259330047</v>
      </c>
      <c r="K25" s="80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75" customHeight="1" x14ac:dyDescent="0.25">
      <c r="A26" s="96">
        <f>5-$C$6</f>
        <v>5</v>
      </c>
      <c r="B26" s="78" t="str">
        <f t="shared" si="15"/>
        <v>5 år</v>
      </c>
      <c r="C26" s="84">
        <f t="shared" si="16"/>
        <v>151288.66012229817</v>
      </c>
      <c r="D26" s="97">
        <f t="shared" si="17"/>
        <v>7.4161107903087338</v>
      </c>
      <c r="E26" s="62"/>
      <c r="F26" s="83">
        <f t="shared" si="0"/>
        <v>23</v>
      </c>
      <c r="G26" s="84">
        <f t="shared" si="1"/>
        <v>8114.2199844205015</v>
      </c>
      <c r="H26" s="84">
        <f t="shared" si="2"/>
        <v>4123.3756790270927</v>
      </c>
      <c r="I26" s="84">
        <f t="shared" si="3"/>
        <v>3990.8443053934088</v>
      </c>
      <c r="J26" s="84">
        <f t="shared" si="4"/>
        <v>1951229.4816276112</v>
      </c>
      <c r="K26" s="80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75" customHeight="1" x14ac:dyDescent="0.25">
      <c r="A27" s="96">
        <f>6-$C$6</f>
        <v>6</v>
      </c>
      <c r="B27" s="78" t="str">
        <f t="shared" si="15"/>
        <v>6 år</v>
      </c>
      <c r="C27" s="84">
        <f t="shared" si="16"/>
        <v>177967.87290278543</v>
      </c>
      <c r="D27" s="97">
        <f t="shared" si="17"/>
        <v>8.7239153383718353</v>
      </c>
      <c r="E27" s="62"/>
      <c r="F27" s="83">
        <f t="shared" si="0"/>
        <v>24</v>
      </c>
      <c r="G27" s="84">
        <f t="shared" si="1"/>
        <v>8114.2199844205015</v>
      </c>
      <c r="H27" s="84">
        <f t="shared" si="2"/>
        <v>4115.0614200575237</v>
      </c>
      <c r="I27" s="84">
        <f t="shared" si="3"/>
        <v>3999.1585643629778</v>
      </c>
      <c r="J27" s="84">
        <f t="shared" si="4"/>
        <v>1947230.3230632483</v>
      </c>
      <c r="K27" s="80"/>
      <c r="L27" s="76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75" customHeight="1" x14ac:dyDescent="0.25">
      <c r="A28" s="96">
        <f>7-$C$6</f>
        <v>7</v>
      </c>
      <c r="B28" s="78" t="str">
        <f t="shared" si="15"/>
        <v>7 år</v>
      </c>
      <c r="C28" s="84">
        <f t="shared" si="16"/>
        <v>204858.98508168571</v>
      </c>
      <c r="D28" s="97">
        <f t="shared" si="17"/>
        <v>10.042107111847338</v>
      </c>
      <c r="E28" s="62"/>
      <c r="F28" s="83">
        <f t="shared" si="0"/>
        <v>25</v>
      </c>
      <c r="G28" s="84">
        <f t="shared" si="1"/>
        <v>8114.2199844205015</v>
      </c>
      <c r="H28" s="84">
        <f t="shared" si="2"/>
        <v>4106.7298397151008</v>
      </c>
      <c r="I28" s="84">
        <f t="shared" si="3"/>
        <v>4007.4901447054008</v>
      </c>
      <c r="J28" s="84">
        <f t="shared" si="4"/>
        <v>1943222.8329185429</v>
      </c>
      <c r="K28" s="80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75" customHeight="1" x14ac:dyDescent="0.25">
      <c r="A29" s="96">
        <f>10-$C$6</f>
        <v>10</v>
      </c>
      <c r="B29" s="78" t="str">
        <f t="shared" si="15"/>
        <v>10 år</v>
      </c>
      <c r="C29" s="84">
        <f t="shared" si="16"/>
        <v>286801.87059247773</v>
      </c>
      <c r="D29" s="97">
        <f t="shared" si="17"/>
        <v>14.058915225121458</v>
      </c>
      <c r="E29" s="62"/>
      <c r="F29" s="83">
        <f t="shared" si="0"/>
        <v>26</v>
      </c>
      <c r="G29" s="84">
        <f t="shared" si="1"/>
        <v>8114.2199844205015</v>
      </c>
      <c r="H29" s="84">
        <f t="shared" si="2"/>
        <v>4098.3809019136315</v>
      </c>
      <c r="I29" s="84">
        <f t="shared" si="3"/>
        <v>4015.83908250687</v>
      </c>
      <c r="J29" s="84">
        <f t="shared" si="4"/>
        <v>1939206.993836036</v>
      </c>
      <c r="K29" s="80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75" customHeight="1" x14ac:dyDescent="0.25">
      <c r="A30" s="98">
        <v>15</v>
      </c>
      <c r="B30" s="78" t="str">
        <f t="shared" si="15"/>
        <v>15 år</v>
      </c>
      <c r="C30" s="84">
        <f t="shared" si="16"/>
        <v>427590.18502840353</v>
      </c>
      <c r="D30" s="97">
        <f t="shared" si="17"/>
        <v>20.960303187666838</v>
      </c>
      <c r="E30" s="62"/>
      <c r="F30" s="83">
        <f t="shared" si="0"/>
        <v>27</v>
      </c>
      <c r="G30" s="84">
        <f t="shared" si="1"/>
        <v>8114.2199844205015</v>
      </c>
      <c r="H30" s="84">
        <f t="shared" si="2"/>
        <v>4090.0145704917418</v>
      </c>
      <c r="I30" s="84">
        <f t="shared" si="3"/>
        <v>4024.2054139287598</v>
      </c>
      <c r="J30" s="84">
        <f t="shared" si="4"/>
        <v>1935182.7884221072</v>
      </c>
      <c r="K30" s="80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75" customHeight="1" x14ac:dyDescent="0.25">
      <c r="A31" s="96">
        <f>20-$C$6</f>
        <v>20</v>
      </c>
      <c r="B31" s="78" t="str">
        <f t="shared" si="15"/>
        <v>20 år</v>
      </c>
      <c r="C31" s="84">
        <f t="shared" si="16"/>
        <v>573612.74288191088</v>
      </c>
      <c r="D31" s="97">
        <f t="shared" si="17"/>
        <v>28.118271709897591</v>
      </c>
      <c r="E31" s="62"/>
      <c r="F31" s="83">
        <f t="shared" si="0"/>
        <v>28</v>
      </c>
      <c r="G31" s="84">
        <f t="shared" si="1"/>
        <v>8114.2199844205015</v>
      </c>
      <c r="H31" s="84">
        <f t="shared" si="2"/>
        <v>4081.6308092127238</v>
      </c>
      <c r="I31" s="84">
        <f t="shared" si="3"/>
        <v>4032.5891752077778</v>
      </c>
      <c r="J31" s="84">
        <f t="shared" si="4"/>
        <v>1931150.1992468995</v>
      </c>
      <c r="K31" s="80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75" customHeight="1" x14ac:dyDescent="0.25">
      <c r="A32" s="96">
        <f>25-$C$6</f>
        <v>25</v>
      </c>
      <c r="B32" s="78" t="str">
        <f t="shared" si="15"/>
        <v>25 år</v>
      </c>
      <c r="C32" s="84">
        <f t="shared" si="16"/>
        <v>724812.97024103347</v>
      </c>
      <c r="D32" s="97">
        <f t="shared" si="17"/>
        <v>35.530047560834973</v>
      </c>
      <c r="E32" s="62"/>
      <c r="F32" s="83">
        <f t="shared" si="0"/>
        <v>29</v>
      </c>
      <c r="G32" s="84">
        <f t="shared" si="1"/>
        <v>8114.2199844205015</v>
      </c>
      <c r="H32" s="84">
        <f t="shared" si="2"/>
        <v>4073.229581764374</v>
      </c>
      <c r="I32" s="84">
        <f t="shared" si="3"/>
        <v>4040.9904026561276</v>
      </c>
      <c r="J32" s="84">
        <f t="shared" si="4"/>
        <v>1927109.2088442433</v>
      </c>
      <c r="K32" s="80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ht="15.75" customHeight="1" x14ac:dyDescent="0.25">
      <c r="A33" s="96">
        <f>30-$C$6</f>
        <v>30</v>
      </c>
      <c r="B33" s="78" t="str">
        <f t="shared" si="15"/>
        <v>30 år</v>
      </c>
      <c r="C33" s="84">
        <f t="shared" si="16"/>
        <v>881119.19439138053</v>
      </c>
      <c r="D33" s="97">
        <f t="shared" si="17"/>
        <v>43.192117372126496</v>
      </c>
      <c r="E33" s="62"/>
      <c r="F33" s="83">
        <f t="shared" si="0"/>
        <v>30</v>
      </c>
      <c r="G33" s="84">
        <f t="shared" si="1"/>
        <v>8114.2199844205015</v>
      </c>
      <c r="H33" s="84">
        <f t="shared" si="2"/>
        <v>4064.8108517588407</v>
      </c>
      <c r="I33" s="84">
        <f t="shared" si="3"/>
        <v>4049.4091326616608</v>
      </c>
      <c r="J33" s="84">
        <f t="shared" si="4"/>
        <v>1923059.7997115816</v>
      </c>
      <c r="K33" s="80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15.75" customHeight="1" x14ac:dyDescent="0.25">
      <c r="A34" s="96">
        <f>35-$C$6</f>
        <v>35</v>
      </c>
      <c r="B34" s="78" t="str">
        <f t="shared" si="15"/>
        <v>35 år</v>
      </c>
      <c r="C34" s="84">
        <f t="shared" si="16"/>
        <v>1042445.411325084</v>
      </c>
      <c r="D34" s="97">
        <f t="shared" si="17"/>
        <v>51.100265261033535</v>
      </c>
      <c r="E34" s="62"/>
      <c r="F34" s="83">
        <f t="shared" si="0"/>
        <v>31</v>
      </c>
      <c r="G34" s="84">
        <f t="shared" si="1"/>
        <v>8114.2199844205015</v>
      </c>
      <c r="H34" s="84">
        <f t="shared" si="2"/>
        <v>4056.3745827324619</v>
      </c>
      <c r="I34" s="84">
        <f t="shared" si="3"/>
        <v>4057.8454016880396</v>
      </c>
      <c r="J34" s="84">
        <f t="shared" si="4"/>
        <v>1919001.9543098935</v>
      </c>
      <c r="K34" s="80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ht="15.75" customHeight="1" x14ac:dyDescent="0.25">
      <c r="A35" s="96">
        <f>40-$C$6</f>
        <v>40</v>
      </c>
      <c r="B35" s="78" t="str">
        <f t="shared" si="15"/>
        <v>40 år</v>
      </c>
      <c r="C35" s="84">
        <f t="shared" si="16"/>
        <v>1208692.1902939589</v>
      </c>
      <c r="D35" s="97">
        <f t="shared" si="17"/>
        <v>59.249617171272497</v>
      </c>
      <c r="E35" s="62"/>
      <c r="F35" s="83">
        <f t="shared" si="0"/>
        <v>32</v>
      </c>
      <c r="G35" s="84">
        <f t="shared" si="1"/>
        <v>8114.2199844205015</v>
      </c>
      <c r="H35" s="84">
        <f t="shared" si="2"/>
        <v>4047.9207381456122</v>
      </c>
      <c r="I35" s="84">
        <f t="shared" si="3"/>
        <v>4066.2992462748894</v>
      </c>
      <c r="J35" s="84">
        <f t="shared" si="4"/>
        <v>1914935.6550636187</v>
      </c>
      <c r="K35" s="80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15.75" customHeight="1" x14ac:dyDescent="0.25">
      <c r="A36" s="62"/>
      <c r="B36" s="62"/>
      <c r="C36" s="76"/>
      <c r="D36" s="77"/>
      <c r="E36" s="62"/>
      <c r="F36" s="83">
        <f t="shared" si="0"/>
        <v>33</v>
      </c>
      <c r="G36" s="84">
        <f t="shared" si="1"/>
        <v>8114.2199844205015</v>
      </c>
      <c r="H36" s="84">
        <f t="shared" si="2"/>
        <v>4039.4492813825395</v>
      </c>
      <c r="I36" s="84">
        <f t="shared" si="3"/>
        <v>4074.770703037962</v>
      </c>
      <c r="J36" s="84">
        <f t="shared" si="4"/>
        <v>1910860.8843605807</v>
      </c>
      <c r="K36" s="80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ht="15.75" customHeight="1" x14ac:dyDescent="0.25">
      <c r="A37" s="62"/>
      <c r="B37" s="176" t="s">
        <v>112</v>
      </c>
      <c r="C37" s="177"/>
      <c r="D37" s="77"/>
      <c r="E37" s="62"/>
      <c r="F37" s="83">
        <f t="shared" si="0"/>
        <v>34</v>
      </c>
      <c r="G37" s="84">
        <f t="shared" si="1"/>
        <v>8114.2199844205015</v>
      </c>
      <c r="H37" s="84">
        <f t="shared" si="2"/>
        <v>4030.96017575121</v>
      </c>
      <c r="I37" s="84">
        <f t="shared" si="3"/>
        <v>4083.2598086692915</v>
      </c>
      <c r="J37" s="84">
        <f t="shared" si="4"/>
        <v>1906777.6245519114</v>
      </c>
      <c r="K37" s="80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15.75" customHeight="1" x14ac:dyDescent="0.25">
      <c r="A38" s="62"/>
      <c r="B38" s="78" t="s">
        <v>113</v>
      </c>
      <c r="C38" s="84">
        <f>SUM(H:H)</f>
        <v>880169.19439138228</v>
      </c>
      <c r="D38" s="77"/>
      <c r="E38" s="62"/>
      <c r="F38" s="83">
        <f t="shared" si="0"/>
        <v>35</v>
      </c>
      <c r="G38" s="84">
        <f t="shared" si="1"/>
        <v>8114.2199844205015</v>
      </c>
      <c r="H38" s="84">
        <f t="shared" si="2"/>
        <v>4022.453384483149</v>
      </c>
      <c r="I38" s="84">
        <f t="shared" si="3"/>
        <v>4091.7665999373526</v>
      </c>
      <c r="J38" s="84">
        <f t="shared" si="4"/>
        <v>1902685.857951974</v>
      </c>
      <c r="K38" s="80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ht="15.75" customHeight="1" x14ac:dyDescent="0.25">
      <c r="A39" s="62"/>
      <c r="B39" s="78" t="s">
        <v>79</v>
      </c>
      <c r="C39" s="84">
        <f>SUM(K:K)</f>
        <v>0</v>
      </c>
      <c r="D39" s="77"/>
      <c r="E39" s="62"/>
      <c r="F39" s="83">
        <f t="shared" si="0"/>
        <v>36</v>
      </c>
      <c r="G39" s="84">
        <f t="shared" si="1"/>
        <v>8114.2199844205015</v>
      </c>
      <c r="H39" s="84">
        <f t="shared" si="2"/>
        <v>4013.9288707332794</v>
      </c>
      <c r="I39" s="84">
        <f t="shared" si="3"/>
        <v>4100.2911136872226</v>
      </c>
      <c r="J39" s="84">
        <f t="shared" si="4"/>
        <v>1898585.5668382868</v>
      </c>
      <c r="K39" s="80"/>
      <c r="L39" s="76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5.75" customHeight="1" x14ac:dyDescent="0.25">
      <c r="A40" s="62"/>
      <c r="B40" s="78" t="s">
        <v>114</v>
      </c>
      <c r="C40" s="84">
        <f>C17-C38</f>
        <v>-1.7462298274040222E-9</v>
      </c>
      <c r="D40" s="77"/>
      <c r="E40" s="62"/>
      <c r="F40" s="83">
        <f t="shared" si="0"/>
        <v>37</v>
      </c>
      <c r="G40" s="84">
        <f t="shared" si="1"/>
        <v>8114.2199844205015</v>
      </c>
      <c r="H40" s="84">
        <f t="shared" si="2"/>
        <v>4005.3865975797648</v>
      </c>
      <c r="I40" s="84">
        <f t="shared" si="3"/>
        <v>4108.8333868407371</v>
      </c>
      <c r="J40" s="84">
        <f t="shared" si="4"/>
        <v>1894476.7334514461</v>
      </c>
      <c r="K40" s="80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ht="15.75" customHeight="1" x14ac:dyDescent="0.25">
      <c r="A41" s="62"/>
      <c r="B41" s="62"/>
      <c r="C41" s="76"/>
      <c r="D41" s="77"/>
      <c r="E41" s="62"/>
      <c r="F41" s="83">
        <f t="shared" si="0"/>
        <v>38</v>
      </c>
      <c r="G41" s="84">
        <f t="shared" si="1"/>
        <v>8114.2199844205015</v>
      </c>
      <c r="H41" s="84">
        <f t="shared" si="2"/>
        <v>3996.8265280238461</v>
      </c>
      <c r="I41" s="84">
        <f t="shared" si="3"/>
        <v>4117.3934563966559</v>
      </c>
      <c r="J41" s="84">
        <f t="shared" si="4"/>
        <v>1890359.3399950494</v>
      </c>
      <c r="K41" s="80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5.75" customHeight="1" x14ac:dyDescent="0.25">
      <c r="A42" s="62"/>
      <c r="B42" s="62"/>
      <c r="C42" s="76"/>
      <c r="D42" s="77"/>
      <c r="E42" s="62"/>
      <c r="F42" s="83">
        <f t="shared" si="0"/>
        <v>39</v>
      </c>
      <c r="G42" s="84">
        <f t="shared" si="1"/>
        <v>8114.2199844205015</v>
      </c>
      <c r="H42" s="84">
        <f t="shared" si="2"/>
        <v>3988.2486249896865</v>
      </c>
      <c r="I42" s="84">
        <f t="shared" si="3"/>
        <v>4125.971359430815</v>
      </c>
      <c r="J42" s="84">
        <f t="shared" si="4"/>
        <v>1886233.3686356186</v>
      </c>
      <c r="K42" s="80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ht="15.75" customHeight="1" x14ac:dyDescent="0.25">
      <c r="A43" s="62"/>
      <c r="B43" s="76"/>
      <c r="C43" s="76"/>
      <c r="D43" s="77"/>
      <c r="E43" s="62"/>
      <c r="F43" s="83">
        <f t="shared" si="0"/>
        <v>40</v>
      </c>
      <c r="G43" s="84">
        <f t="shared" si="1"/>
        <v>8114.2199844205015</v>
      </c>
      <c r="H43" s="84">
        <f t="shared" si="2"/>
        <v>3979.652851324206</v>
      </c>
      <c r="I43" s="84">
        <f t="shared" si="3"/>
        <v>4134.5671330962959</v>
      </c>
      <c r="J43" s="84">
        <f t="shared" si="4"/>
        <v>1882098.8015025223</v>
      </c>
      <c r="K43" s="80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15.75" customHeight="1" x14ac:dyDescent="0.25">
      <c r="A44" s="62"/>
      <c r="B44" s="76"/>
      <c r="C44" s="76"/>
      <c r="D44" s="77"/>
      <c r="E44" s="62"/>
      <c r="F44" s="83">
        <f t="shared" si="0"/>
        <v>41</v>
      </c>
      <c r="G44" s="84">
        <f t="shared" si="1"/>
        <v>8114.2199844205015</v>
      </c>
      <c r="H44" s="84">
        <f t="shared" si="2"/>
        <v>3971.0391697969221</v>
      </c>
      <c r="I44" s="84">
        <f t="shared" si="3"/>
        <v>4143.1808146235799</v>
      </c>
      <c r="J44" s="84">
        <f t="shared" si="4"/>
        <v>1877955.6206878987</v>
      </c>
      <c r="K44" s="80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ht="15.75" customHeight="1" x14ac:dyDescent="0.25">
      <c r="A45" s="62"/>
      <c r="B45" s="76"/>
      <c r="C45" s="76"/>
      <c r="D45" s="77"/>
      <c r="E45" s="62"/>
      <c r="F45" s="83">
        <f t="shared" si="0"/>
        <v>42</v>
      </c>
      <c r="G45" s="84">
        <f t="shared" si="1"/>
        <v>8114.2199844205015</v>
      </c>
      <c r="H45" s="84">
        <f t="shared" si="2"/>
        <v>3962.4075430997891</v>
      </c>
      <c r="I45" s="84">
        <f t="shared" si="3"/>
        <v>4151.8124413207124</v>
      </c>
      <c r="J45" s="84">
        <f t="shared" si="4"/>
        <v>1873803.8082465781</v>
      </c>
      <c r="K45" s="80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15.75" customHeight="1" x14ac:dyDescent="0.25">
      <c r="A46" s="62"/>
      <c r="B46" s="62"/>
      <c r="C46" s="76"/>
      <c r="D46" s="77"/>
      <c r="E46" s="62"/>
      <c r="F46" s="83">
        <f t="shared" si="0"/>
        <v>43</v>
      </c>
      <c r="G46" s="84">
        <f t="shared" si="1"/>
        <v>8114.2199844205015</v>
      </c>
      <c r="H46" s="84">
        <f t="shared" si="2"/>
        <v>3953.7579338470382</v>
      </c>
      <c r="I46" s="84">
        <f t="shared" si="3"/>
        <v>4160.4620505734638</v>
      </c>
      <c r="J46" s="84">
        <f t="shared" si="4"/>
        <v>1869643.3461960047</v>
      </c>
      <c r="K46" s="80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ht="15.75" customHeight="1" x14ac:dyDescent="0.25">
      <c r="A47" s="62"/>
      <c r="B47" s="76"/>
      <c r="C47" s="76"/>
      <c r="D47" s="77"/>
      <c r="E47" s="62"/>
      <c r="F47" s="83">
        <f t="shared" si="0"/>
        <v>44</v>
      </c>
      <c r="G47" s="84">
        <f t="shared" si="1"/>
        <v>8114.2199844205015</v>
      </c>
      <c r="H47" s="84">
        <f t="shared" si="2"/>
        <v>3945.0903045750097</v>
      </c>
      <c r="I47" s="84">
        <f t="shared" si="3"/>
        <v>4169.1296798454914</v>
      </c>
      <c r="J47" s="84">
        <f t="shared" si="4"/>
        <v>1865474.2165161592</v>
      </c>
      <c r="K47" s="80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15.75" customHeight="1" x14ac:dyDescent="0.25">
      <c r="A48" s="62"/>
      <c r="B48" s="62"/>
      <c r="C48" s="76"/>
      <c r="D48" s="77"/>
      <c r="E48" s="62"/>
      <c r="F48" s="83">
        <f t="shared" si="0"/>
        <v>45</v>
      </c>
      <c r="G48" s="84">
        <f t="shared" si="1"/>
        <v>8114.2199844205015</v>
      </c>
      <c r="H48" s="84">
        <f t="shared" si="2"/>
        <v>3936.4046177419987</v>
      </c>
      <c r="I48" s="84">
        <f t="shared" si="3"/>
        <v>4177.8153666785029</v>
      </c>
      <c r="J48" s="84">
        <f t="shared" si="4"/>
        <v>1861296.4011494808</v>
      </c>
      <c r="K48" s="80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ht="15.75" customHeight="1" x14ac:dyDescent="0.25">
      <c r="A49" s="62"/>
      <c r="B49" s="62"/>
      <c r="C49" s="76"/>
      <c r="D49" s="77"/>
      <c r="E49" s="62"/>
      <c r="F49" s="83">
        <f t="shared" si="0"/>
        <v>46</v>
      </c>
      <c r="G49" s="84">
        <f t="shared" si="1"/>
        <v>8114.2199844205015</v>
      </c>
      <c r="H49" s="84">
        <f t="shared" si="2"/>
        <v>3927.7008357280852</v>
      </c>
      <c r="I49" s="84">
        <f t="shared" si="3"/>
        <v>4186.5191486924159</v>
      </c>
      <c r="J49" s="84">
        <f t="shared" si="4"/>
        <v>1857109.8820007883</v>
      </c>
      <c r="K49" s="80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ht="15.75" customHeight="1" x14ac:dyDescent="0.25">
      <c r="A50" s="62"/>
      <c r="B50" s="62"/>
      <c r="C50" s="76"/>
      <c r="D50" s="77"/>
      <c r="E50" s="62"/>
      <c r="F50" s="83">
        <f t="shared" si="0"/>
        <v>47</v>
      </c>
      <c r="G50" s="84">
        <f t="shared" si="1"/>
        <v>8114.2199844205015</v>
      </c>
      <c r="H50" s="84">
        <f t="shared" si="2"/>
        <v>3918.9789208349757</v>
      </c>
      <c r="I50" s="84">
        <f t="shared" si="3"/>
        <v>4195.2410635855258</v>
      </c>
      <c r="J50" s="84">
        <f t="shared" si="4"/>
        <v>1852914.6409372028</v>
      </c>
      <c r="K50" s="80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ht="15.75" customHeight="1" x14ac:dyDescent="0.25">
      <c r="A51" s="62"/>
      <c r="B51" s="62"/>
      <c r="C51" s="76"/>
      <c r="D51" s="77"/>
      <c r="E51" s="62"/>
      <c r="F51" s="83">
        <f t="shared" si="0"/>
        <v>48</v>
      </c>
      <c r="G51" s="84">
        <f t="shared" si="1"/>
        <v>8114.2199844205015</v>
      </c>
      <c r="H51" s="84">
        <f t="shared" si="2"/>
        <v>3910.2388352858397</v>
      </c>
      <c r="I51" s="84">
        <f t="shared" si="3"/>
        <v>4203.9811491346618</v>
      </c>
      <c r="J51" s="84">
        <f t="shared" si="4"/>
        <v>1848710.6597880682</v>
      </c>
      <c r="K51" s="80"/>
      <c r="L51" s="76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ht="15.75" customHeight="1" x14ac:dyDescent="0.25">
      <c r="A52" s="62"/>
      <c r="B52" s="62"/>
      <c r="C52" s="76"/>
      <c r="D52" s="77"/>
      <c r="E52" s="62"/>
      <c r="F52" s="83">
        <f t="shared" si="0"/>
        <v>49</v>
      </c>
      <c r="G52" s="84">
        <f t="shared" si="1"/>
        <v>8114.2199844205015</v>
      </c>
      <c r="H52" s="84">
        <f t="shared" si="2"/>
        <v>3901.4805412251421</v>
      </c>
      <c r="I52" s="84">
        <f t="shared" si="3"/>
        <v>4212.7394431953599</v>
      </c>
      <c r="J52" s="84">
        <f t="shared" si="4"/>
        <v>1844497.9203448729</v>
      </c>
      <c r="K52" s="80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ht="15.75" customHeight="1" x14ac:dyDescent="0.25">
      <c r="A53" s="62"/>
      <c r="B53" s="62"/>
      <c r="C53" s="76"/>
      <c r="D53" s="77"/>
      <c r="E53" s="62"/>
      <c r="F53" s="83">
        <f t="shared" si="0"/>
        <v>50</v>
      </c>
      <c r="G53" s="84">
        <f t="shared" si="1"/>
        <v>8114.2199844205015</v>
      </c>
      <c r="H53" s="84">
        <f t="shared" si="2"/>
        <v>3892.7040007184855</v>
      </c>
      <c r="I53" s="84">
        <f t="shared" si="3"/>
        <v>4221.5159837020165</v>
      </c>
      <c r="J53" s="84">
        <f t="shared" si="4"/>
        <v>1840276.4043611709</v>
      </c>
      <c r="K53" s="80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15.75" customHeight="1" x14ac:dyDescent="0.25">
      <c r="A54" s="62"/>
      <c r="B54" s="62"/>
      <c r="C54" s="76"/>
      <c r="D54" s="77"/>
      <c r="E54" s="62"/>
      <c r="F54" s="83">
        <f t="shared" si="0"/>
        <v>51</v>
      </c>
      <c r="G54" s="84">
        <f t="shared" si="1"/>
        <v>8114.2199844205015</v>
      </c>
      <c r="H54" s="84">
        <f t="shared" si="2"/>
        <v>3883.9091757524398</v>
      </c>
      <c r="I54" s="84">
        <f t="shared" si="3"/>
        <v>4230.3108086680622</v>
      </c>
      <c r="J54" s="84">
        <f t="shared" si="4"/>
        <v>1836046.0935525028</v>
      </c>
      <c r="K54" s="80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ht="15.75" customHeight="1" x14ac:dyDescent="0.25">
      <c r="A55" s="62"/>
      <c r="B55" s="62"/>
      <c r="C55" s="76"/>
      <c r="D55" s="77"/>
      <c r="E55" s="62"/>
      <c r="F55" s="83">
        <f t="shared" si="0"/>
        <v>52</v>
      </c>
      <c r="G55" s="84">
        <f t="shared" si="1"/>
        <v>8114.2199844205015</v>
      </c>
      <c r="H55" s="84">
        <f t="shared" si="2"/>
        <v>3875.0960282343808</v>
      </c>
      <c r="I55" s="84">
        <f t="shared" si="3"/>
        <v>4239.1239561861203</v>
      </c>
      <c r="J55" s="84">
        <f t="shared" si="4"/>
        <v>1831806.9695963166</v>
      </c>
      <c r="K55" s="80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15.75" customHeight="1" x14ac:dyDescent="0.25">
      <c r="A56" s="62"/>
      <c r="B56" s="62"/>
      <c r="C56" s="76"/>
      <c r="D56" s="77"/>
      <c r="E56" s="62"/>
      <c r="F56" s="83">
        <f t="shared" si="0"/>
        <v>53</v>
      </c>
      <c r="G56" s="84">
        <f t="shared" si="1"/>
        <v>8114.2199844205015</v>
      </c>
      <c r="H56" s="84">
        <f t="shared" si="2"/>
        <v>3866.2645199923263</v>
      </c>
      <c r="I56" s="84">
        <f t="shared" si="3"/>
        <v>4247.9554644281752</v>
      </c>
      <c r="J56" s="84">
        <f t="shared" si="4"/>
        <v>1827559.0141318883</v>
      </c>
      <c r="K56" s="80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ht="15.75" customHeight="1" x14ac:dyDescent="0.25">
      <c r="A57" s="62"/>
      <c r="B57" s="62"/>
      <c r="C57" s="76"/>
      <c r="D57" s="77"/>
      <c r="E57" s="62"/>
      <c r="F57" s="83">
        <f t="shared" si="0"/>
        <v>54</v>
      </c>
      <c r="G57" s="84">
        <f t="shared" si="1"/>
        <v>8114.2199844205015</v>
      </c>
      <c r="H57" s="84">
        <f t="shared" si="2"/>
        <v>3857.4146127747676</v>
      </c>
      <c r="I57" s="84">
        <f t="shared" si="3"/>
        <v>4256.8053716457343</v>
      </c>
      <c r="J57" s="84">
        <f t="shared" si="4"/>
        <v>1823302.2087602424</v>
      </c>
      <c r="K57" s="80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15.75" customHeight="1" x14ac:dyDescent="0.25">
      <c r="A58" s="62"/>
      <c r="B58" s="62"/>
      <c r="C58" s="76"/>
      <c r="D58" s="77"/>
      <c r="E58" s="62"/>
      <c r="F58" s="83">
        <f t="shared" si="0"/>
        <v>55</v>
      </c>
      <c r="G58" s="84">
        <f t="shared" si="1"/>
        <v>8114.2199844205015</v>
      </c>
      <c r="H58" s="84">
        <f t="shared" si="2"/>
        <v>3848.5462682505054</v>
      </c>
      <c r="I58" s="84">
        <f t="shared" si="3"/>
        <v>4265.6737161699966</v>
      </c>
      <c r="J58" s="84">
        <f t="shared" si="4"/>
        <v>1819036.5350440724</v>
      </c>
      <c r="K58" s="80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ht="15.75" customHeight="1" x14ac:dyDescent="0.25">
      <c r="A59" s="62"/>
      <c r="B59" s="62"/>
      <c r="C59" s="76"/>
      <c r="D59" s="77"/>
      <c r="E59" s="62"/>
      <c r="F59" s="83">
        <f t="shared" si="0"/>
        <v>56</v>
      </c>
      <c r="G59" s="84">
        <f t="shared" si="1"/>
        <v>8114.2199844205015</v>
      </c>
      <c r="H59" s="84">
        <f t="shared" si="2"/>
        <v>3839.6594480084846</v>
      </c>
      <c r="I59" s="84">
        <f t="shared" si="3"/>
        <v>4274.5605364120165</v>
      </c>
      <c r="J59" s="84">
        <f t="shared" si="4"/>
        <v>1814761.9745076604</v>
      </c>
      <c r="K59" s="80"/>
      <c r="L59" s="62"/>
      <c r="M59" s="62"/>
      <c r="N59" s="76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15.75" customHeight="1" x14ac:dyDescent="0.25">
      <c r="A60" s="62"/>
      <c r="B60" s="62"/>
      <c r="C60" s="76"/>
      <c r="D60" s="77"/>
      <c r="E60" s="62"/>
      <c r="F60" s="83">
        <f t="shared" si="0"/>
        <v>57</v>
      </c>
      <c r="G60" s="84">
        <f t="shared" si="1"/>
        <v>8114.2199844205015</v>
      </c>
      <c r="H60" s="84">
        <f t="shared" si="2"/>
        <v>3830.7541135576262</v>
      </c>
      <c r="I60" s="84">
        <f t="shared" si="3"/>
        <v>4283.4658708628758</v>
      </c>
      <c r="J60" s="84">
        <f t="shared" si="4"/>
        <v>1810478.5086367975</v>
      </c>
      <c r="K60" s="80"/>
      <c r="L60" s="62"/>
      <c r="M60" s="62"/>
      <c r="N60" s="76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ht="15.75" customHeight="1" x14ac:dyDescent="0.25">
      <c r="A61" s="62"/>
      <c r="B61" s="62"/>
      <c r="C61" s="76"/>
      <c r="D61" s="77"/>
      <c r="E61" s="62"/>
      <c r="F61" s="83">
        <f t="shared" si="0"/>
        <v>58</v>
      </c>
      <c r="G61" s="84">
        <f t="shared" si="1"/>
        <v>8114.2199844205015</v>
      </c>
      <c r="H61" s="84">
        <f t="shared" si="2"/>
        <v>3821.8302263266619</v>
      </c>
      <c r="I61" s="84">
        <f t="shared" si="3"/>
        <v>4292.3897580938392</v>
      </c>
      <c r="J61" s="84">
        <f t="shared" si="4"/>
        <v>1806186.1188787038</v>
      </c>
      <c r="K61" s="80"/>
      <c r="L61" s="62"/>
      <c r="M61" s="62"/>
      <c r="N61" s="76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ht="15.75" customHeight="1" x14ac:dyDescent="0.25">
      <c r="A62" s="62"/>
      <c r="B62" s="62"/>
      <c r="C62" s="76"/>
      <c r="D62" s="77"/>
      <c r="E62" s="62"/>
      <c r="F62" s="83">
        <f t="shared" si="0"/>
        <v>59</v>
      </c>
      <c r="G62" s="84">
        <f t="shared" si="1"/>
        <v>8114.2199844205015</v>
      </c>
      <c r="H62" s="84">
        <f t="shared" si="2"/>
        <v>3812.8877476639664</v>
      </c>
      <c r="I62" s="84">
        <f t="shared" si="3"/>
        <v>4301.3322367565352</v>
      </c>
      <c r="J62" s="84">
        <f t="shared" si="4"/>
        <v>1801884.7866419472</v>
      </c>
      <c r="K62" s="80"/>
      <c r="L62" s="62"/>
      <c r="M62" s="62"/>
      <c r="N62" s="76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ht="15.75" customHeight="1" x14ac:dyDescent="0.25">
      <c r="A63" s="62"/>
      <c r="B63" s="62"/>
      <c r="C63" s="76"/>
      <c r="D63" s="77"/>
      <c r="E63" s="62"/>
      <c r="F63" s="83">
        <f t="shared" si="0"/>
        <v>60</v>
      </c>
      <c r="G63" s="84">
        <f t="shared" si="1"/>
        <v>8114.2199844205015</v>
      </c>
      <c r="H63" s="84">
        <f t="shared" si="2"/>
        <v>3803.9266388373903</v>
      </c>
      <c r="I63" s="84">
        <f t="shared" si="3"/>
        <v>4310.2933455831117</v>
      </c>
      <c r="J63" s="84">
        <f t="shared" si="4"/>
        <v>1797574.4932963641</v>
      </c>
      <c r="K63" s="80"/>
      <c r="L63" s="76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15.75" customHeight="1" x14ac:dyDescent="0.25">
      <c r="A64" s="62"/>
      <c r="B64" s="62"/>
      <c r="C64" s="76"/>
      <c r="D64" s="77"/>
      <c r="E64" s="62"/>
      <c r="F64" s="83">
        <f t="shared" si="0"/>
        <v>61</v>
      </c>
      <c r="G64" s="84">
        <f t="shared" si="1"/>
        <v>8114.2199844205015</v>
      </c>
      <c r="H64" s="84">
        <f t="shared" si="2"/>
        <v>3794.9468610340919</v>
      </c>
      <c r="I64" s="84">
        <f t="shared" si="3"/>
        <v>4319.2731233864097</v>
      </c>
      <c r="J64" s="84">
        <f t="shared" si="4"/>
        <v>1793255.2201729778</v>
      </c>
      <c r="K64" s="80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ht="15.75" customHeight="1" x14ac:dyDescent="0.25">
      <c r="A65" s="62"/>
      <c r="B65" s="62"/>
      <c r="C65" s="76"/>
      <c r="D65" s="77"/>
      <c r="E65" s="62"/>
      <c r="F65" s="83">
        <f t="shared" si="0"/>
        <v>62</v>
      </c>
      <c r="G65" s="84">
        <f t="shared" si="1"/>
        <v>8114.2199844205015</v>
      </c>
      <c r="H65" s="84">
        <f t="shared" si="2"/>
        <v>3785.9483753603708</v>
      </c>
      <c r="I65" s="84">
        <f t="shared" si="3"/>
        <v>4328.2716090601307</v>
      </c>
      <c r="J65" s="84">
        <f t="shared" si="4"/>
        <v>1788926.9485639175</v>
      </c>
      <c r="K65" s="80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15.75" customHeight="1" x14ac:dyDescent="0.25">
      <c r="A66" s="62"/>
      <c r="B66" s="62"/>
      <c r="C66" s="76"/>
      <c r="D66" s="77"/>
      <c r="E66" s="62"/>
      <c r="F66" s="83">
        <f t="shared" si="0"/>
        <v>63</v>
      </c>
      <c r="G66" s="84">
        <f t="shared" si="1"/>
        <v>8114.2199844205015</v>
      </c>
      <c r="H66" s="84">
        <f t="shared" si="2"/>
        <v>3776.9311428414949</v>
      </c>
      <c r="I66" s="84">
        <f t="shared" si="3"/>
        <v>4337.2888415790067</v>
      </c>
      <c r="J66" s="84">
        <f t="shared" si="4"/>
        <v>1784589.6597223384</v>
      </c>
      <c r="K66" s="80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ht="15.75" customHeight="1" x14ac:dyDescent="0.25">
      <c r="A67" s="62"/>
      <c r="B67" s="62"/>
      <c r="C67" s="76"/>
      <c r="D67" s="77"/>
      <c r="E67" s="62"/>
      <c r="F67" s="83">
        <f t="shared" si="0"/>
        <v>64</v>
      </c>
      <c r="G67" s="84">
        <f t="shared" si="1"/>
        <v>8114.2199844205015</v>
      </c>
      <c r="H67" s="84">
        <f t="shared" si="2"/>
        <v>3767.8951244215386</v>
      </c>
      <c r="I67" s="84">
        <f t="shared" si="3"/>
        <v>4346.3248599989629</v>
      </c>
      <c r="J67" s="84">
        <f t="shared" si="4"/>
        <v>1780243.3348623395</v>
      </c>
      <c r="K67" s="80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15.75" customHeight="1" x14ac:dyDescent="0.25">
      <c r="A68" s="62"/>
      <c r="B68" s="62"/>
      <c r="C68" s="76"/>
      <c r="D68" s="77"/>
      <c r="E68" s="62"/>
      <c r="F68" s="83">
        <f t="shared" si="0"/>
        <v>65</v>
      </c>
      <c r="G68" s="84">
        <f t="shared" si="1"/>
        <v>8114.2199844205015</v>
      </c>
      <c r="H68" s="84">
        <f t="shared" si="2"/>
        <v>3758.8402809632075</v>
      </c>
      <c r="I68" s="84">
        <f t="shared" si="3"/>
        <v>4355.3797034572945</v>
      </c>
      <c r="J68" s="84">
        <f t="shared" si="4"/>
        <v>1775887.9551588823</v>
      </c>
      <c r="K68" s="80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ht="15.75" customHeight="1" x14ac:dyDescent="0.25">
      <c r="A69" s="62"/>
      <c r="B69" s="62"/>
      <c r="C69" s="76"/>
      <c r="D69" s="77"/>
      <c r="E69" s="62"/>
      <c r="F69" s="83">
        <f t="shared" si="0"/>
        <v>66</v>
      </c>
      <c r="G69" s="84">
        <f t="shared" si="1"/>
        <v>8114.2199844205015</v>
      </c>
      <c r="H69" s="84">
        <f t="shared" si="2"/>
        <v>3749.7665732476721</v>
      </c>
      <c r="I69" s="84">
        <f t="shared" si="3"/>
        <v>4364.4534111728299</v>
      </c>
      <c r="J69" s="84">
        <f t="shared" si="4"/>
        <v>1771523.5017477095</v>
      </c>
      <c r="K69" s="80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15.75" customHeight="1" x14ac:dyDescent="0.25">
      <c r="A70" s="62"/>
      <c r="B70" s="62"/>
      <c r="C70" s="76"/>
      <c r="D70" s="77"/>
      <c r="E70" s="62"/>
      <c r="F70" s="83">
        <f t="shared" si="0"/>
        <v>67</v>
      </c>
      <c r="G70" s="84">
        <f t="shared" si="1"/>
        <v>8114.2199844205015</v>
      </c>
      <c r="H70" s="84">
        <f t="shared" si="2"/>
        <v>3740.6739619743948</v>
      </c>
      <c r="I70" s="84">
        <f t="shared" si="3"/>
        <v>4373.5460224461067</v>
      </c>
      <c r="J70" s="84">
        <f t="shared" si="4"/>
        <v>1767149.9557252633</v>
      </c>
      <c r="K70" s="80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ht="15.75" customHeight="1" x14ac:dyDescent="0.25">
      <c r="A71" s="62"/>
      <c r="B71" s="62"/>
      <c r="C71" s="76"/>
      <c r="D71" s="77"/>
      <c r="E71" s="62"/>
      <c r="F71" s="83">
        <f t="shared" si="0"/>
        <v>68</v>
      </c>
      <c r="G71" s="84">
        <f t="shared" si="1"/>
        <v>8114.2199844205015</v>
      </c>
      <c r="H71" s="84">
        <f t="shared" si="2"/>
        <v>3731.5624077609659</v>
      </c>
      <c r="I71" s="84">
        <f t="shared" si="3"/>
        <v>4382.6575766595361</v>
      </c>
      <c r="J71" s="84">
        <f t="shared" si="4"/>
        <v>1762767.2981486039</v>
      </c>
      <c r="K71" s="80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15.75" customHeight="1" x14ac:dyDescent="0.25">
      <c r="A72" s="62"/>
      <c r="B72" s="62"/>
      <c r="C72" s="76"/>
      <c r="D72" s="77"/>
      <c r="E72" s="62"/>
      <c r="F72" s="83">
        <f t="shared" si="0"/>
        <v>69</v>
      </c>
      <c r="G72" s="84">
        <f t="shared" si="1"/>
        <v>8114.2199844205015</v>
      </c>
      <c r="H72" s="84">
        <f t="shared" si="2"/>
        <v>3722.4318711429246</v>
      </c>
      <c r="I72" s="84">
        <f t="shared" si="3"/>
        <v>4391.7881132775765</v>
      </c>
      <c r="J72" s="84">
        <f t="shared" si="4"/>
        <v>1758375.5100353262</v>
      </c>
      <c r="K72" s="80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ht="15.75" customHeight="1" x14ac:dyDescent="0.25">
      <c r="A73" s="62"/>
      <c r="B73" s="62"/>
      <c r="C73" s="76"/>
      <c r="D73" s="77"/>
      <c r="E73" s="62"/>
      <c r="F73" s="83">
        <f t="shared" si="0"/>
        <v>70</v>
      </c>
      <c r="G73" s="84">
        <f t="shared" si="1"/>
        <v>8114.2199844205015</v>
      </c>
      <c r="H73" s="84">
        <f t="shared" si="2"/>
        <v>3713.2823125735963</v>
      </c>
      <c r="I73" s="84">
        <f t="shared" si="3"/>
        <v>4400.9376718469048</v>
      </c>
      <c r="J73" s="84">
        <f t="shared" si="4"/>
        <v>1753974.5723634793</v>
      </c>
      <c r="K73" s="80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15.75" customHeight="1" x14ac:dyDescent="0.25">
      <c r="A74" s="62"/>
      <c r="B74" s="62"/>
      <c r="C74" s="76"/>
      <c r="D74" s="77"/>
      <c r="E74" s="62"/>
      <c r="F74" s="83">
        <f t="shared" si="0"/>
        <v>71</v>
      </c>
      <c r="G74" s="84">
        <f t="shared" si="1"/>
        <v>8114.2199844205015</v>
      </c>
      <c r="H74" s="84">
        <f t="shared" si="2"/>
        <v>3704.1136924239158</v>
      </c>
      <c r="I74" s="84">
        <f t="shared" si="3"/>
        <v>4410.1062919965862</v>
      </c>
      <c r="J74" s="84">
        <f t="shared" si="4"/>
        <v>1749564.4660714827</v>
      </c>
      <c r="K74" s="80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ht="15.75" customHeight="1" x14ac:dyDescent="0.25">
      <c r="A75" s="62"/>
      <c r="B75" s="62"/>
      <c r="C75" s="76"/>
      <c r="D75" s="77"/>
      <c r="E75" s="62"/>
      <c r="F75" s="83">
        <f t="shared" si="0"/>
        <v>72</v>
      </c>
      <c r="G75" s="84">
        <f t="shared" si="1"/>
        <v>8114.2199844205015</v>
      </c>
      <c r="H75" s="84">
        <f t="shared" si="2"/>
        <v>3694.9259709822559</v>
      </c>
      <c r="I75" s="84">
        <f t="shared" si="3"/>
        <v>4419.2940134382461</v>
      </c>
      <c r="J75" s="84">
        <f t="shared" si="4"/>
        <v>1745145.1720580445</v>
      </c>
      <c r="K75" s="80"/>
      <c r="L75" s="76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15.75" customHeight="1" x14ac:dyDescent="0.25">
      <c r="A76" s="62"/>
      <c r="B76" s="62"/>
      <c r="C76" s="76"/>
      <c r="D76" s="77"/>
      <c r="E76" s="62"/>
      <c r="F76" s="83">
        <f t="shared" si="0"/>
        <v>73</v>
      </c>
      <c r="G76" s="84">
        <f t="shared" si="1"/>
        <v>8114.2199844205015</v>
      </c>
      <c r="H76" s="84">
        <f t="shared" si="2"/>
        <v>3685.7191084542596</v>
      </c>
      <c r="I76" s="84">
        <f t="shared" si="3"/>
        <v>4428.5008759662414</v>
      </c>
      <c r="J76" s="84">
        <f t="shared" si="4"/>
        <v>1740716.6711820783</v>
      </c>
      <c r="K76" s="80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ht="15.75" customHeight="1" x14ac:dyDescent="0.25">
      <c r="A77" s="62"/>
      <c r="B77" s="62"/>
      <c r="C77" s="76"/>
      <c r="D77" s="77"/>
      <c r="E77" s="62"/>
      <c r="F77" s="83">
        <f t="shared" si="0"/>
        <v>74</v>
      </c>
      <c r="G77" s="84">
        <f t="shared" si="1"/>
        <v>8114.2199844205015</v>
      </c>
      <c r="H77" s="84">
        <f t="shared" si="2"/>
        <v>3676.4930649626635</v>
      </c>
      <c r="I77" s="84">
        <f t="shared" si="3"/>
        <v>4437.7269194578384</v>
      </c>
      <c r="J77" s="84">
        <f t="shared" si="4"/>
        <v>1736278.9442626205</v>
      </c>
      <c r="K77" s="80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15.75" customHeight="1" x14ac:dyDescent="0.25">
      <c r="A78" s="62"/>
      <c r="B78" s="62"/>
      <c r="C78" s="76"/>
      <c r="D78" s="77"/>
      <c r="E78" s="62"/>
      <c r="F78" s="83">
        <f t="shared" si="0"/>
        <v>75</v>
      </c>
      <c r="G78" s="84">
        <f t="shared" si="1"/>
        <v>8114.2199844205015</v>
      </c>
      <c r="H78" s="84">
        <f t="shared" si="2"/>
        <v>3667.2478005471262</v>
      </c>
      <c r="I78" s="84">
        <f t="shared" si="3"/>
        <v>4446.9721838733749</v>
      </c>
      <c r="J78" s="84">
        <f t="shared" si="4"/>
        <v>1731831.9720787471</v>
      </c>
      <c r="K78" s="80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ht="15.75" customHeight="1" x14ac:dyDescent="0.25">
      <c r="A79" s="62"/>
      <c r="B79" s="62"/>
      <c r="C79" s="76"/>
      <c r="D79" s="77"/>
      <c r="E79" s="62"/>
      <c r="F79" s="83">
        <f t="shared" si="0"/>
        <v>76</v>
      </c>
      <c r="G79" s="84">
        <f t="shared" si="1"/>
        <v>8114.2199844205015</v>
      </c>
      <c r="H79" s="84">
        <f t="shared" si="2"/>
        <v>3657.983275164057</v>
      </c>
      <c r="I79" s="84">
        <f t="shared" si="3"/>
        <v>4456.2367092564446</v>
      </c>
      <c r="J79" s="84">
        <f t="shared" si="4"/>
        <v>1727375.7353694907</v>
      </c>
      <c r="K79" s="80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ht="15.75" customHeight="1" x14ac:dyDescent="0.25">
      <c r="A80" s="62"/>
      <c r="B80" s="62"/>
      <c r="C80" s="76"/>
      <c r="D80" s="77"/>
      <c r="E80" s="62"/>
      <c r="F80" s="83">
        <f t="shared" si="0"/>
        <v>77</v>
      </c>
      <c r="G80" s="84">
        <f t="shared" si="1"/>
        <v>8114.2199844205015</v>
      </c>
      <c r="H80" s="84">
        <f t="shared" si="2"/>
        <v>3648.6994486864392</v>
      </c>
      <c r="I80" s="84">
        <f t="shared" si="3"/>
        <v>4465.5205357340619</v>
      </c>
      <c r="J80" s="84">
        <f t="shared" si="4"/>
        <v>1722910.2148337567</v>
      </c>
      <c r="K80" s="80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ht="15.75" customHeight="1" x14ac:dyDescent="0.25">
      <c r="A81" s="62"/>
      <c r="B81" s="62"/>
      <c r="C81" s="76"/>
      <c r="D81" s="77"/>
      <c r="E81" s="62"/>
      <c r="F81" s="83">
        <f t="shared" si="0"/>
        <v>78</v>
      </c>
      <c r="G81" s="84">
        <f t="shared" si="1"/>
        <v>8114.2199844205015</v>
      </c>
      <c r="H81" s="84">
        <f t="shared" si="2"/>
        <v>3639.3962809036602</v>
      </c>
      <c r="I81" s="84">
        <f t="shared" si="3"/>
        <v>4474.8237035168413</v>
      </c>
      <c r="J81" s="84">
        <f t="shared" si="4"/>
        <v>1718435.3911302399</v>
      </c>
      <c r="K81" s="80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5.75" customHeight="1" x14ac:dyDescent="0.25">
      <c r="A82" s="62"/>
      <c r="B82" s="62"/>
      <c r="C82" s="76"/>
      <c r="D82" s="77"/>
      <c r="E82" s="62"/>
      <c r="F82" s="83">
        <f t="shared" si="0"/>
        <v>79</v>
      </c>
      <c r="G82" s="84">
        <f t="shared" si="1"/>
        <v>8114.2199844205015</v>
      </c>
      <c r="H82" s="84">
        <f t="shared" si="2"/>
        <v>3630.0737315213337</v>
      </c>
      <c r="I82" s="84">
        <f t="shared" si="3"/>
        <v>4484.1462528991678</v>
      </c>
      <c r="J82" s="84">
        <f t="shared" si="4"/>
        <v>1713951.2448773407</v>
      </c>
      <c r="K82" s="80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ht="15.75" customHeight="1" x14ac:dyDescent="0.25">
      <c r="A83" s="62"/>
      <c r="B83" s="62"/>
      <c r="C83" s="76"/>
      <c r="D83" s="77"/>
      <c r="E83" s="62"/>
      <c r="F83" s="83">
        <f t="shared" si="0"/>
        <v>80</v>
      </c>
      <c r="G83" s="84">
        <f t="shared" si="1"/>
        <v>8114.2199844205015</v>
      </c>
      <c r="H83" s="84">
        <f t="shared" si="2"/>
        <v>3620.7317601611267</v>
      </c>
      <c r="I83" s="84">
        <f t="shared" si="3"/>
        <v>4493.4882242593749</v>
      </c>
      <c r="J83" s="84">
        <f t="shared" si="4"/>
        <v>1709457.7566530814</v>
      </c>
      <c r="K83" s="80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15.75" customHeight="1" x14ac:dyDescent="0.25">
      <c r="A84" s="62"/>
      <c r="B84" s="62"/>
      <c r="C84" s="76"/>
      <c r="D84" s="77"/>
      <c r="E84" s="62"/>
      <c r="F84" s="83">
        <f t="shared" si="0"/>
        <v>81</v>
      </c>
      <c r="G84" s="84">
        <f t="shared" si="1"/>
        <v>8114.2199844205015</v>
      </c>
      <c r="H84" s="84">
        <f t="shared" si="2"/>
        <v>3611.3703263605862</v>
      </c>
      <c r="I84" s="84">
        <f t="shared" si="3"/>
        <v>4502.8496580599149</v>
      </c>
      <c r="J84" s="84">
        <f t="shared" si="4"/>
        <v>1704954.9069950215</v>
      </c>
      <c r="K84" s="80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ht="15.75" customHeight="1" x14ac:dyDescent="0.25">
      <c r="A85" s="62"/>
      <c r="B85" s="62"/>
      <c r="C85" s="76"/>
      <c r="D85" s="77"/>
      <c r="E85" s="62"/>
      <c r="F85" s="83">
        <f t="shared" si="0"/>
        <v>82</v>
      </c>
      <c r="G85" s="84">
        <f t="shared" si="1"/>
        <v>8114.2199844205015</v>
      </c>
      <c r="H85" s="84">
        <f t="shared" si="2"/>
        <v>3601.989389572962</v>
      </c>
      <c r="I85" s="84">
        <f t="shared" si="3"/>
        <v>4512.2305948475396</v>
      </c>
      <c r="J85" s="84">
        <f t="shared" si="4"/>
        <v>1700442.6764001739</v>
      </c>
      <c r="K85" s="80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5.75" customHeight="1" x14ac:dyDescent="0.25">
      <c r="A86" s="62"/>
      <c r="B86" s="62"/>
      <c r="C86" s="76"/>
      <c r="D86" s="77"/>
      <c r="E86" s="62"/>
      <c r="F86" s="83">
        <f t="shared" si="0"/>
        <v>83</v>
      </c>
      <c r="G86" s="84">
        <f t="shared" si="1"/>
        <v>8114.2199844205015</v>
      </c>
      <c r="H86" s="84">
        <f t="shared" si="2"/>
        <v>3592.5889091670292</v>
      </c>
      <c r="I86" s="84">
        <f t="shared" si="3"/>
        <v>4521.6310752534719</v>
      </c>
      <c r="J86" s="84">
        <f t="shared" si="4"/>
        <v>1695921.0453249204</v>
      </c>
      <c r="K86" s="80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ht="15.75" customHeight="1" x14ac:dyDescent="0.25">
      <c r="A87" s="62"/>
      <c r="B87" s="62"/>
      <c r="C87" s="76"/>
      <c r="D87" s="77"/>
      <c r="E87" s="62"/>
      <c r="F87" s="83">
        <f t="shared" si="0"/>
        <v>84</v>
      </c>
      <c r="G87" s="84">
        <f t="shared" si="1"/>
        <v>8114.2199844205015</v>
      </c>
      <c r="H87" s="84">
        <f t="shared" si="2"/>
        <v>3583.168844426918</v>
      </c>
      <c r="I87" s="84">
        <f t="shared" si="3"/>
        <v>4531.051139993584</v>
      </c>
      <c r="J87" s="84">
        <f t="shared" si="4"/>
        <v>1691389.9941849269</v>
      </c>
      <c r="K87" s="80"/>
      <c r="L87" s="76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15.75" customHeight="1" x14ac:dyDescent="0.25">
      <c r="A88" s="62"/>
      <c r="B88" s="62"/>
      <c r="C88" s="76"/>
      <c r="D88" s="77"/>
      <c r="E88" s="62"/>
      <c r="F88" s="83">
        <f t="shared" si="0"/>
        <v>85</v>
      </c>
      <c r="G88" s="84">
        <f t="shared" si="1"/>
        <v>8114.2199844205015</v>
      </c>
      <c r="H88" s="84">
        <f t="shared" si="2"/>
        <v>3573.7291545519311</v>
      </c>
      <c r="I88" s="84">
        <f t="shared" si="3"/>
        <v>4540.4908298685705</v>
      </c>
      <c r="J88" s="84">
        <f t="shared" si="4"/>
        <v>1686849.5033550584</v>
      </c>
      <c r="K88" s="80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ht="15.75" customHeight="1" x14ac:dyDescent="0.25">
      <c r="A89" s="62"/>
      <c r="B89" s="62"/>
      <c r="C89" s="76"/>
      <c r="D89" s="77"/>
      <c r="E89" s="62"/>
      <c r="F89" s="83">
        <f t="shared" si="0"/>
        <v>86</v>
      </c>
      <c r="G89" s="84">
        <f t="shared" si="1"/>
        <v>8114.2199844205015</v>
      </c>
      <c r="H89" s="84">
        <f t="shared" si="2"/>
        <v>3564.2697986563721</v>
      </c>
      <c r="I89" s="84">
        <f t="shared" si="3"/>
        <v>4549.9501857641299</v>
      </c>
      <c r="J89" s="84">
        <f t="shared" si="4"/>
        <v>1682299.5531692943</v>
      </c>
      <c r="K89" s="80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15.75" customHeight="1" x14ac:dyDescent="0.25">
      <c r="A90" s="62"/>
      <c r="B90" s="62"/>
      <c r="C90" s="76"/>
      <c r="D90" s="77"/>
      <c r="E90" s="62"/>
      <c r="F90" s="83">
        <f t="shared" si="0"/>
        <v>87</v>
      </c>
      <c r="G90" s="84">
        <f t="shared" si="1"/>
        <v>8114.2199844205015</v>
      </c>
      <c r="H90" s="84">
        <f t="shared" si="2"/>
        <v>3554.7907357693634</v>
      </c>
      <c r="I90" s="84">
        <f t="shared" si="3"/>
        <v>4559.4292486511386</v>
      </c>
      <c r="J90" s="84">
        <f t="shared" si="4"/>
        <v>1677740.1239206432</v>
      </c>
      <c r="K90" s="80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ht="15.75" customHeight="1" x14ac:dyDescent="0.25">
      <c r="A91" s="62"/>
      <c r="B91" s="62"/>
      <c r="C91" s="76"/>
      <c r="D91" s="77"/>
      <c r="E91" s="62"/>
      <c r="F91" s="83">
        <f t="shared" si="0"/>
        <v>88</v>
      </c>
      <c r="G91" s="84">
        <f t="shared" si="1"/>
        <v>8114.2199844205015</v>
      </c>
      <c r="H91" s="84">
        <f t="shared" si="2"/>
        <v>3545.2919248346734</v>
      </c>
      <c r="I91" s="84">
        <f t="shared" si="3"/>
        <v>4568.9280595858281</v>
      </c>
      <c r="J91" s="84">
        <f t="shared" si="4"/>
        <v>1673171.1958610574</v>
      </c>
      <c r="K91" s="80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15.75" customHeight="1" x14ac:dyDescent="0.25">
      <c r="A92" s="62"/>
      <c r="B92" s="62"/>
      <c r="C92" s="76"/>
      <c r="D92" s="77"/>
      <c r="E92" s="62"/>
      <c r="F92" s="83">
        <f t="shared" si="0"/>
        <v>89</v>
      </c>
      <c r="G92" s="84">
        <f t="shared" si="1"/>
        <v>8114.2199844205015</v>
      </c>
      <c r="H92" s="84">
        <f t="shared" si="2"/>
        <v>3535.7733247105366</v>
      </c>
      <c r="I92" s="84">
        <f t="shared" si="3"/>
        <v>4578.4466597099654</v>
      </c>
      <c r="J92" s="84">
        <f t="shared" si="4"/>
        <v>1668592.7492013474</v>
      </c>
      <c r="K92" s="80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ht="15.75" customHeight="1" x14ac:dyDescent="0.25">
      <c r="A93" s="62"/>
      <c r="B93" s="62"/>
      <c r="C93" s="76"/>
      <c r="D93" s="77"/>
      <c r="E93" s="62"/>
      <c r="F93" s="83">
        <f t="shared" si="0"/>
        <v>90</v>
      </c>
      <c r="G93" s="84">
        <f t="shared" si="1"/>
        <v>8114.2199844205015</v>
      </c>
      <c r="H93" s="84">
        <f t="shared" si="2"/>
        <v>3526.234894169474</v>
      </c>
      <c r="I93" s="84">
        <f t="shared" si="3"/>
        <v>4587.9850902510279</v>
      </c>
      <c r="J93" s="84">
        <f t="shared" si="4"/>
        <v>1664004.7641110963</v>
      </c>
      <c r="K93" s="80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15.75" customHeight="1" x14ac:dyDescent="0.25">
      <c r="A94" s="62"/>
      <c r="B94" s="62"/>
      <c r="C94" s="76"/>
      <c r="D94" s="77"/>
      <c r="E94" s="62"/>
      <c r="F94" s="83">
        <f t="shared" si="0"/>
        <v>91</v>
      </c>
      <c r="G94" s="84">
        <f t="shared" si="1"/>
        <v>8114.2199844205015</v>
      </c>
      <c r="H94" s="84">
        <f t="shared" si="2"/>
        <v>3516.6765918981177</v>
      </c>
      <c r="I94" s="84">
        <f t="shared" si="3"/>
        <v>4597.5433925223842</v>
      </c>
      <c r="J94" s="84">
        <f t="shared" si="4"/>
        <v>1659407.2207185738</v>
      </c>
      <c r="K94" s="80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ht="15.75" customHeight="1" x14ac:dyDescent="0.25">
      <c r="A95" s="62"/>
      <c r="B95" s="62"/>
      <c r="C95" s="76"/>
      <c r="D95" s="77"/>
      <c r="E95" s="62"/>
      <c r="F95" s="83">
        <f t="shared" si="0"/>
        <v>92</v>
      </c>
      <c r="G95" s="84">
        <f t="shared" si="1"/>
        <v>8114.2199844205015</v>
      </c>
      <c r="H95" s="84">
        <f t="shared" si="2"/>
        <v>3507.0983764970292</v>
      </c>
      <c r="I95" s="84">
        <f t="shared" si="3"/>
        <v>4607.1216079234728</v>
      </c>
      <c r="J95" s="84">
        <f t="shared" si="4"/>
        <v>1654800.0991106504</v>
      </c>
      <c r="K95" s="80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15.75" customHeight="1" x14ac:dyDescent="0.25">
      <c r="A96" s="62"/>
      <c r="B96" s="62"/>
      <c r="C96" s="76"/>
      <c r="D96" s="77"/>
      <c r="E96" s="62"/>
      <c r="F96" s="83">
        <f t="shared" si="0"/>
        <v>93</v>
      </c>
      <c r="G96" s="84">
        <f t="shared" si="1"/>
        <v>8114.2199844205015</v>
      </c>
      <c r="H96" s="84">
        <f t="shared" si="2"/>
        <v>3497.5002064805217</v>
      </c>
      <c r="I96" s="84">
        <f t="shared" si="3"/>
        <v>4616.7197779399794</v>
      </c>
      <c r="J96" s="84">
        <f t="shared" si="4"/>
        <v>1650183.3793327103</v>
      </c>
      <c r="K96" s="80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ht="15.75" customHeight="1" x14ac:dyDescent="0.25">
      <c r="A97" s="62"/>
      <c r="B97" s="62"/>
      <c r="C97" s="76"/>
      <c r="D97" s="77"/>
      <c r="E97" s="62"/>
      <c r="F97" s="83">
        <f t="shared" si="0"/>
        <v>94</v>
      </c>
      <c r="G97" s="84">
        <f t="shared" si="1"/>
        <v>8114.2199844205015</v>
      </c>
      <c r="H97" s="84">
        <f t="shared" si="2"/>
        <v>3487.88204027648</v>
      </c>
      <c r="I97" s="84">
        <f t="shared" si="3"/>
        <v>4626.3379441440211</v>
      </c>
      <c r="J97" s="84">
        <f t="shared" si="4"/>
        <v>1645557.0413885664</v>
      </c>
      <c r="K97" s="80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ht="15.75" customHeight="1" x14ac:dyDescent="0.25">
      <c r="A98" s="62"/>
      <c r="B98" s="62"/>
      <c r="C98" s="76"/>
      <c r="D98" s="77"/>
      <c r="E98" s="62"/>
      <c r="F98" s="83">
        <f t="shared" si="0"/>
        <v>95</v>
      </c>
      <c r="G98" s="84">
        <f t="shared" si="1"/>
        <v>8114.2199844205015</v>
      </c>
      <c r="H98" s="84">
        <f t="shared" si="2"/>
        <v>3478.2438362261801</v>
      </c>
      <c r="I98" s="84">
        <f t="shared" si="3"/>
        <v>4635.9761481943215</v>
      </c>
      <c r="J98" s="84">
        <f t="shared" si="4"/>
        <v>1640921.065240372</v>
      </c>
      <c r="K98" s="80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ht="15.75" customHeight="1" x14ac:dyDescent="0.25">
      <c r="A99" s="62"/>
      <c r="B99" s="62"/>
      <c r="C99" s="76"/>
      <c r="D99" s="77"/>
      <c r="E99" s="62"/>
      <c r="F99" s="83">
        <f t="shared" si="0"/>
        <v>96</v>
      </c>
      <c r="G99" s="84">
        <f t="shared" si="1"/>
        <v>8114.2199844205015</v>
      </c>
      <c r="H99" s="84">
        <f t="shared" si="2"/>
        <v>3468.5855525841084</v>
      </c>
      <c r="I99" s="84">
        <f t="shared" si="3"/>
        <v>4645.6344318363936</v>
      </c>
      <c r="J99" s="84">
        <f t="shared" si="4"/>
        <v>1636275.4308085355</v>
      </c>
      <c r="K99" s="80"/>
      <c r="L99" s="76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15.75" customHeight="1" x14ac:dyDescent="0.25">
      <c r="A100" s="62"/>
      <c r="B100" s="62"/>
      <c r="C100" s="76"/>
      <c r="D100" s="77"/>
      <c r="E100" s="62"/>
      <c r="F100" s="83">
        <f t="shared" si="0"/>
        <v>97</v>
      </c>
      <c r="G100" s="84">
        <f t="shared" si="1"/>
        <v>8114.2199844205015</v>
      </c>
      <c r="H100" s="84">
        <f t="shared" si="2"/>
        <v>3458.9071475177825</v>
      </c>
      <c r="I100" s="84">
        <f t="shared" si="3"/>
        <v>4655.312836902719</v>
      </c>
      <c r="J100" s="84">
        <f t="shared" si="4"/>
        <v>1631620.1179716329</v>
      </c>
      <c r="K100" s="80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ht="15.75" customHeight="1" x14ac:dyDescent="0.25">
      <c r="A101" s="62"/>
      <c r="B101" s="62"/>
      <c r="C101" s="76"/>
      <c r="D101" s="77"/>
      <c r="E101" s="62"/>
      <c r="F101" s="83">
        <f t="shared" si="0"/>
        <v>98</v>
      </c>
      <c r="G101" s="84">
        <f t="shared" si="1"/>
        <v>8114.2199844205015</v>
      </c>
      <c r="H101" s="84">
        <f t="shared" si="2"/>
        <v>3449.2085791075683</v>
      </c>
      <c r="I101" s="84">
        <f t="shared" si="3"/>
        <v>4665.0114053129328</v>
      </c>
      <c r="J101" s="84">
        <f t="shared" si="4"/>
        <v>1626955.1065663199</v>
      </c>
      <c r="K101" s="80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15.75" customHeight="1" x14ac:dyDescent="0.25">
      <c r="A102" s="62"/>
      <c r="B102" s="62"/>
      <c r="C102" s="76"/>
      <c r="D102" s="77"/>
      <c r="E102" s="62"/>
      <c r="F102" s="83">
        <f t="shared" si="0"/>
        <v>99</v>
      </c>
      <c r="G102" s="84">
        <f t="shared" si="1"/>
        <v>8114.2199844205015</v>
      </c>
      <c r="H102" s="84">
        <f t="shared" si="2"/>
        <v>3439.4898053465004</v>
      </c>
      <c r="I102" s="84">
        <f t="shared" si="3"/>
        <v>4674.7301790740012</v>
      </c>
      <c r="J102" s="84">
        <f t="shared" si="4"/>
        <v>1622280.376387246</v>
      </c>
      <c r="K102" s="80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ht="15.75" customHeight="1" x14ac:dyDescent="0.25">
      <c r="A103" s="62"/>
      <c r="B103" s="62"/>
      <c r="C103" s="76"/>
      <c r="D103" s="77"/>
      <c r="E103" s="62"/>
      <c r="F103" s="83">
        <f t="shared" si="0"/>
        <v>100</v>
      </c>
      <c r="G103" s="84">
        <f t="shared" si="1"/>
        <v>8114.2199844205015</v>
      </c>
      <c r="H103" s="84">
        <f t="shared" si="2"/>
        <v>3429.7507841400961</v>
      </c>
      <c r="I103" s="84">
        <f t="shared" si="3"/>
        <v>4684.4692002804059</v>
      </c>
      <c r="J103" s="84">
        <f t="shared" si="4"/>
        <v>1617595.9071869655</v>
      </c>
      <c r="K103" s="80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15.75" customHeight="1" x14ac:dyDescent="0.25">
      <c r="A104" s="62"/>
      <c r="B104" s="62"/>
      <c r="C104" s="76"/>
      <c r="D104" s="77"/>
      <c r="E104" s="62"/>
      <c r="F104" s="83">
        <f t="shared" si="0"/>
        <v>101</v>
      </c>
      <c r="G104" s="84">
        <f t="shared" si="1"/>
        <v>8114.2199844205015</v>
      </c>
      <c r="H104" s="84">
        <f t="shared" si="2"/>
        <v>3419.9914733061782</v>
      </c>
      <c r="I104" s="84">
        <f t="shared" si="3"/>
        <v>4694.2285111143228</v>
      </c>
      <c r="J104" s="84">
        <f t="shared" si="4"/>
        <v>1612901.6786758511</v>
      </c>
      <c r="K104" s="80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ht="15.75" customHeight="1" x14ac:dyDescent="0.25">
      <c r="A105" s="62"/>
      <c r="B105" s="62"/>
      <c r="C105" s="76"/>
      <c r="D105" s="77"/>
      <c r="E105" s="62"/>
      <c r="F105" s="83">
        <f t="shared" si="0"/>
        <v>102</v>
      </c>
      <c r="G105" s="84">
        <f t="shared" si="1"/>
        <v>8114.2199844205015</v>
      </c>
      <c r="H105" s="84">
        <f t="shared" si="2"/>
        <v>3410.2118305746899</v>
      </c>
      <c r="I105" s="84">
        <f t="shared" si="3"/>
        <v>4704.0081538458116</v>
      </c>
      <c r="J105" s="84">
        <f t="shared" si="4"/>
        <v>1608197.6705220053</v>
      </c>
      <c r="K105" s="80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15.75" customHeight="1" x14ac:dyDescent="0.25">
      <c r="A106" s="62"/>
      <c r="B106" s="62"/>
      <c r="C106" s="76"/>
      <c r="D106" s="77"/>
      <c r="E106" s="62"/>
      <c r="F106" s="83">
        <f t="shared" si="0"/>
        <v>103</v>
      </c>
      <c r="G106" s="84">
        <f t="shared" si="1"/>
        <v>8114.2199844205015</v>
      </c>
      <c r="H106" s="84">
        <f t="shared" si="2"/>
        <v>3400.411813587511</v>
      </c>
      <c r="I106" s="84">
        <f t="shared" si="3"/>
        <v>4713.8081708329901</v>
      </c>
      <c r="J106" s="84">
        <f t="shared" si="4"/>
        <v>1603483.8623511724</v>
      </c>
      <c r="K106" s="80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ht="15.75" customHeight="1" x14ac:dyDescent="0.25">
      <c r="A107" s="62"/>
      <c r="B107" s="62"/>
      <c r="C107" s="76"/>
      <c r="D107" s="77"/>
      <c r="E107" s="62"/>
      <c r="F107" s="83">
        <f t="shared" si="0"/>
        <v>104</v>
      </c>
      <c r="G107" s="84">
        <f t="shared" si="1"/>
        <v>8114.2199844205015</v>
      </c>
      <c r="H107" s="84">
        <f t="shared" si="2"/>
        <v>3390.591379898276</v>
      </c>
      <c r="I107" s="84">
        <f t="shared" si="3"/>
        <v>4723.6286045222259</v>
      </c>
      <c r="J107" s="84">
        <f t="shared" si="4"/>
        <v>1598760.2337466502</v>
      </c>
      <c r="K107" s="80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15.75" customHeight="1" x14ac:dyDescent="0.25">
      <c r="A108" s="62"/>
      <c r="B108" s="62"/>
      <c r="C108" s="76"/>
      <c r="D108" s="77"/>
      <c r="E108" s="62"/>
      <c r="F108" s="83">
        <f t="shared" si="0"/>
        <v>105</v>
      </c>
      <c r="G108" s="84">
        <f t="shared" si="1"/>
        <v>8114.2199844205015</v>
      </c>
      <c r="H108" s="84">
        <f t="shared" si="2"/>
        <v>3380.7504869721884</v>
      </c>
      <c r="I108" s="84">
        <f t="shared" si="3"/>
        <v>4733.4694974483136</v>
      </c>
      <c r="J108" s="84">
        <f t="shared" si="4"/>
        <v>1594026.7642492019</v>
      </c>
      <c r="K108" s="80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ht="15.75" customHeight="1" x14ac:dyDescent="0.25">
      <c r="A109" s="62"/>
      <c r="B109" s="62"/>
      <c r="C109" s="76"/>
      <c r="D109" s="77"/>
      <c r="E109" s="62"/>
      <c r="F109" s="83">
        <f t="shared" si="0"/>
        <v>106</v>
      </c>
      <c r="G109" s="84">
        <f t="shared" si="1"/>
        <v>8114.2199844205015</v>
      </c>
      <c r="H109" s="84">
        <f t="shared" si="2"/>
        <v>3370.8890921858379</v>
      </c>
      <c r="I109" s="84">
        <f t="shared" si="3"/>
        <v>4743.3308922346641</v>
      </c>
      <c r="J109" s="84">
        <f t="shared" si="4"/>
        <v>1589283.4333569673</v>
      </c>
      <c r="K109" s="80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15.75" customHeight="1" x14ac:dyDescent="0.25">
      <c r="A110" s="62"/>
      <c r="B110" s="62"/>
      <c r="C110" s="76"/>
      <c r="D110" s="77"/>
      <c r="E110" s="62"/>
      <c r="F110" s="83">
        <f t="shared" si="0"/>
        <v>107</v>
      </c>
      <c r="G110" s="84">
        <f t="shared" si="1"/>
        <v>8114.2199844205015</v>
      </c>
      <c r="H110" s="84">
        <f t="shared" si="2"/>
        <v>3361.007152827015</v>
      </c>
      <c r="I110" s="84">
        <f t="shared" si="3"/>
        <v>4753.212831593486</v>
      </c>
      <c r="J110" s="84">
        <f t="shared" si="4"/>
        <v>1584530.2205253737</v>
      </c>
      <c r="K110" s="80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ht="15.75" customHeight="1" x14ac:dyDescent="0.25">
      <c r="A111" s="62"/>
      <c r="B111" s="62"/>
      <c r="C111" s="76"/>
      <c r="D111" s="77"/>
      <c r="E111" s="62"/>
      <c r="F111" s="83">
        <f t="shared" si="0"/>
        <v>108</v>
      </c>
      <c r="G111" s="84">
        <f t="shared" si="1"/>
        <v>8114.2199844205015</v>
      </c>
      <c r="H111" s="84">
        <f t="shared" si="2"/>
        <v>3351.1046260945291</v>
      </c>
      <c r="I111" s="84">
        <f t="shared" si="3"/>
        <v>4763.1153583259729</v>
      </c>
      <c r="J111" s="84">
        <f t="shared" si="4"/>
        <v>1579767.1051670478</v>
      </c>
      <c r="K111" s="80"/>
      <c r="L111" s="76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15.75" customHeight="1" x14ac:dyDescent="0.25">
      <c r="A112" s="62"/>
      <c r="B112" s="62"/>
      <c r="C112" s="76"/>
      <c r="D112" s="77"/>
      <c r="E112" s="62"/>
      <c r="F112" s="83">
        <f t="shared" si="0"/>
        <v>109</v>
      </c>
      <c r="G112" s="84">
        <f t="shared" si="1"/>
        <v>8114.2199844205015</v>
      </c>
      <c r="H112" s="84">
        <f t="shared" si="2"/>
        <v>3341.1814690980168</v>
      </c>
      <c r="I112" s="84">
        <f t="shared" si="3"/>
        <v>4773.0385153224852</v>
      </c>
      <c r="J112" s="84">
        <f t="shared" si="4"/>
        <v>1574994.0666517254</v>
      </c>
      <c r="K112" s="80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ht="15.75" customHeight="1" x14ac:dyDescent="0.25">
      <c r="A113" s="62"/>
      <c r="B113" s="62"/>
      <c r="C113" s="76"/>
      <c r="D113" s="77"/>
      <c r="E113" s="62"/>
      <c r="F113" s="83">
        <f t="shared" si="0"/>
        <v>110</v>
      </c>
      <c r="G113" s="84">
        <f t="shared" si="1"/>
        <v>8114.2199844205015</v>
      </c>
      <c r="H113" s="84">
        <f t="shared" si="2"/>
        <v>3331.2376388577613</v>
      </c>
      <c r="I113" s="84">
        <f t="shared" si="3"/>
        <v>4782.9823455627402</v>
      </c>
      <c r="J113" s="84">
        <f t="shared" si="4"/>
        <v>1570211.0843061628</v>
      </c>
      <c r="K113" s="80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15.75" customHeight="1" x14ac:dyDescent="0.25">
      <c r="A114" s="62"/>
      <c r="B114" s="62"/>
      <c r="C114" s="76"/>
      <c r="D114" s="77"/>
      <c r="E114" s="62"/>
      <c r="F114" s="83">
        <f t="shared" si="0"/>
        <v>111</v>
      </c>
      <c r="G114" s="84">
        <f t="shared" si="1"/>
        <v>8114.2199844205015</v>
      </c>
      <c r="H114" s="84">
        <f t="shared" si="2"/>
        <v>3321.273092304506</v>
      </c>
      <c r="I114" s="84">
        <f t="shared" si="3"/>
        <v>4792.9468921159951</v>
      </c>
      <c r="J114" s="84">
        <f t="shared" si="4"/>
        <v>1565418.1374140468</v>
      </c>
      <c r="K114" s="80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ht="15.75" customHeight="1" x14ac:dyDescent="0.25">
      <c r="A115" s="62"/>
      <c r="B115" s="62"/>
      <c r="C115" s="76"/>
      <c r="D115" s="77"/>
      <c r="E115" s="62"/>
      <c r="F115" s="83">
        <f t="shared" si="0"/>
        <v>112</v>
      </c>
      <c r="G115" s="84">
        <f t="shared" si="1"/>
        <v>8114.2199844205015</v>
      </c>
      <c r="H115" s="84">
        <f t="shared" si="2"/>
        <v>3311.2877862792643</v>
      </c>
      <c r="I115" s="84">
        <f t="shared" si="3"/>
        <v>4802.9321981412377</v>
      </c>
      <c r="J115" s="84">
        <f t="shared" si="4"/>
        <v>1560615.2052159056</v>
      </c>
      <c r="K115" s="80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ht="15.75" customHeight="1" x14ac:dyDescent="0.25">
      <c r="A116" s="62"/>
      <c r="B116" s="62"/>
      <c r="C116" s="76"/>
      <c r="D116" s="77"/>
      <c r="E116" s="62"/>
      <c r="F116" s="83">
        <f t="shared" si="0"/>
        <v>113</v>
      </c>
      <c r="G116" s="84">
        <f t="shared" si="1"/>
        <v>8114.2199844205015</v>
      </c>
      <c r="H116" s="84">
        <f t="shared" si="2"/>
        <v>3301.2816775331371</v>
      </c>
      <c r="I116" s="84">
        <f t="shared" si="3"/>
        <v>4812.9383068873649</v>
      </c>
      <c r="J116" s="84">
        <f t="shared" si="4"/>
        <v>1555802.2669090182</v>
      </c>
      <c r="K116" s="80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ht="15.75" customHeight="1" x14ac:dyDescent="0.25">
      <c r="A117" s="62"/>
      <c r="B117" s="62"/>
      <c r="C117" s="76"/>
      <c r="D117" s="77"/>
      <c r="E117" s="62"/>
      <c r="F117" s="83">
        <f t="shared" si="0"/>
        <v>114</v>
      </c>
      <c r="G117" s="84">
        <f t="shared" si="1"/>
        <v>8114.2199844205015</v>
      </c>
      <c r="H117" s="84">
        <f t="shared" si="2"/>
        <v>3291.2547227271211</v>
      </c>
      <c r="I117" s="84">
        <f t="shared" si="3"/>
        <v>4822.9652616933799</v>
      </c>
      <c r="J117" s="84">
        <f t="shared" si="4"/>
        <v>1550979.3016473248</v>
      </c>
      <c r="K117" s="80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15.75" customHeight="1" x14ac:dyDescent="0.25">
      <c r="A118" s="62"/>
      <c r="B118" s="62"/>
      <c r="C118" s="76"/>
      <c r="D118" s="77"/>
      <c r="E118" s="62"/>
      <c r="F118" s="83">
        <f t="shared" si="0"/>
        <v>115</v>
      </c>
      <c r="G118" s="84">
        <f t="shared" si="1"/>
        <v>8114.2199844205015</v>
      </c>
      <c r="H118" s="84">
        <f t="shared" si="2"/>
        <v>3281.2068784319267</v>
      </c>
      <c r="I118" s="84">
        <f t="shared" si="3"/>
        <v>4833.0131059885753</v>
      </c>
      <c r="J118" s="84">
        <f t="shared" si="4"/>
        <v>1546146.2885413363</v>
      </c>
      <c r="K118" s="80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ht="15.75" customHeight="1" x14ac:dyDescent="0.25">
      <c r="A119" s="62"/>
      <c r="B119" s="62"/>
      <c r="C119" s="76"/>
      <c r="D119" s="77"/>
      <c r="E119" s="62"/>
      <c r="F119" s="83">
        <f t="shared" si="0"/>
        <v>116</v>
      </c>
      <c r="G119" s="84">
        <f t="shared" si="1"/>
        <v>8114.2199844205015</v>
      </c>
      <c r="H119" s="84">
        <f t="shared" si="2"/>
        <v>3271.138101127784</v>
      </c>
      <c r="I119" s="84">
        <f t="shared" si="3"/>
        <v>4843.081883292718</v>
      </c>
      <c r="J119" s="84">
        <f t="shared" si="4"/>
        <v>1541303.2066580437</v>
      </c>
      <c r="K119" s="80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15.75" customHeight="1" x14ac:dyDescent="0.25">
      <c r="A120" s="62"/>
      <c r="B120" s="62"/>
      <c r="C120" s="76"/>
      <c r="D120" s="77"/>
      <c r="E120" s="62"/>
      <c r="F120" s="83">
        <f t="shared" si="0"/>
        <v>117</v>
      </c>
      <c r="G120" s="84">
        <f t="shared" si="1"/>
        <v>8114.2199844205015</v>
      </c>
      <c r="H120" s="84">
        <f t="shared" si="2"/>
        <v>3261.0483472042579</v>
      </c>
      <c r="I120" s="84">
        <f t="shared" si="3"/>
        <v>4853.1716372162437</v>
      </c>
      <c r="J120" s="84">
        <f t="shared" si="4"/>
        <v>1536450.0350208273</v>
      </c>
      <c r="K120" s="80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ht="15.75" customHeight="1" x14ac:dyDescent="0.25">
      <c r="A121" s="62"/>
      <c r="B121" s="62"/>
      <c r="C121" s="76"/>
      <c r="D121" s="77"/>
      <c r="E121" s="62"/>
      <c r="F121" s="83">
        <f t="shared" si="0"/>
        <v>118</v>
      </c>
      <c r="G121" s="84">
        <f t="shared" si="1"/>
        <v>8114.2199844205015</v>
      </c>
      <c r="H121" s="84">
        <f t="shared" si="2"/>
        <v>3250.9375729600574</v>
      </c>
      <c r="I121" s="84">
        <f t="shared" si="3"/>
        <v>4863.2824114604446</v>
      </c>
      <c r="J121" s="84">
        <f t="shared" si="4"/>
        <v>1531586.7526093668</v>
      </c>
      <c r="K121" s="80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15.75" customHeight="1" x14ac:dyDescent="0.25">
      <c r="A122" s="62"/>
      <c r="B122" s="62"/>
      <c r="C122" s="76"/>
      <c r="D122" s="77"/>
      <c r="E122" s="62"/>
      <c r="F122" s="83">
        <f t="shared" si="0"/>
        <v>119</v>
      </c>
      <c r="G122" s="84">
        <f t="shared" si="1"/>
        <v>8114.2199844205015</v>
      </c>
      <c r="H122" s="84">
        <f t="shared" si="2"/>
        <v>3240.8057346028477</v>
      </c>
      <c r="I122" s="84">
        <f t="shared" si="3"/>
        <v>4873.4142498176534</v>
      </c>
      <c r="J122" s="84">
        <f t="shared" si="4"/>
        <v>1526713.3383595492</v>
      </c>
      <c r="K122" s="80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ht="15.75" customHeight="1" x14ac:dyDescent="0.25">
      <c r="A123" s="62"/>
      <c r="B123" s="62"/>
      <c r="C123" s="76"/>
      <c r="D123" s="77"/>
      <c r="E123" s="62"/>
      <c r="F123" s="83">
        <f t="shared" si="0"/>
        <v>120</v>
      </c>
      <c r="G123" s="84">
        <f t="shared" si="1"/>
        <v>8114.2199844205015</v>
      </c>
      <c r="H123" s="84">
        <f t="shared" si="2"/>
        <v>3230.6527882490609</v>
      </c>
      <c r="I123" s="84">
        <f t="shared" si="3"/>
        <v>4883.5671961714406</v>
      </c>
      <c r="J123" s="84">
        <f t="shared" si="4"/>
        <v>1521829.7711633777</v>
      </c>
      <c r="K123" s="80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15.75" customHeight="1" x14ac:dyDescent="0.25">
      <c r="A124" s="62"/>
      <c r="B124" s="62"/>
      <c r="C124" s="76"/>
      <c r="D124" s="77"/>
      <c r="E124" s="62"/>
      <c r="F124" s="83">
        <f t="shared" si="0"/>
        <v>121</v>
      </c>
      <c r="G124" s="84">
        <f t="shared" si="1"/>
        <v>8114.2199844205015</v>
      </c>
      <c r="H124" s="84">
        <f t="shared" si="2"/>
        <v>3220.4786899237038</v>
      </c>
      <c r="I124" s="84">
        <f t="shared" si="3"/>
        <v>4893.7412944967982</v>
      </c>
      <c r="J124" s="84">
        <f t="shared" si="4"/>
        <v>1516936.029868881</v>
      </c>
      <c r="K124" s="80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ht="15.75" customHeight="1" x14ac:dyDescent="0.25">
      <c r="A125" s="62"/>
      <c r="B125" s="62"/>
      <c r="C125" s="76"/>
      <c r="D125" s="77"/>
      <c r="E125" s="62"/>
      <c r="F125" s="83">
        <f t="shared" si="0"/>
        <v>122</v>
      </c>
      <c r="G125" s="84">
        <f t="shared" si="1"/>
        <v>8114.2199844205015</v>
      </c>
      <c r="H125" s="84">
        <f t="shared" si="2"/>
        <v>3210.2833955601691</v>
      </c>
      <c r="I125" s="84">
        <f t="shared" si="3"/>
        <v>4903.9365888603324</v>
      </c>
      <c r="J125" s="84">
        <f t="shared" si="4"/>
        <v>1512032.0932800206</v>
      </c>
      <c r="K125" s="80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15.75" customHeight="1" x14ac:dyDescent="0.25">
      <c r="A126" s="62"/>
      <c r="B126" s="62"/>
      <c r="C126" s="76"/>
      <c r="D126" s="77"/>
      <c r="E126" s="62"/>
      <c r="F126" s="83">
        <f t="shared" si="0"/>
        <v>123</v>
      </c>
      <c r="G126" s="84">
        <f t="shared" si="1"/>
        <v>8114.2199844205015</v>
      </c>
      <c r="H126" s="84">
        <f t="shared" si="2"/>
        <v>3200.066861000043</v>
      </c>
      <c r="I126" s="84">
        <f t="shared" si="3"/>
        <v>4914.1531234204585</v>
      </c>
      <c r="J126" s="84">
        <f t="shared" si="4"/>
        <v>1507117.9401566002</v>
      </c>
      <c r="K126" s="80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ht="15.75" customHeight="1" x14ac:dyDescent="0.25">
      <c r="A127" s="62"/>
      <c r="B127" s="62"/>
      <c r="C127" s="76"/>
      <c r="D127" s="77"/>
      <c r="E127" s="62"/>
      <c r="F127" s="83">
        <f t="shared" si="0"/>
        <v>124</v>
      </c>
      <c r="G127" s="84">
        <f t="shared" si="1"/>
        <v>8114.2199844205015</v>
      </c>
      <c r="H127" s="84">
        <f t="shared" si="2"/>
        <v>3189.8290419929176</v>
      </c>
      <c r="I127" s="84">
        <f t="shared" si="3"/>
        <v>4924.3909424275844</v>
      </c>
      <c r="J127" s="84">
        <f t="shared" si="4"/>
        <v>1502193.5492141726</v>
      </c>
      <c r="K127" s="80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15.75" customHeight="1" x14ac:dyDescent="0.25">
      <c r="A128" s="62"/>
      <c r="B128" s="62"/>
      <c r="C128" s="76"/>
      <c r="D128" s="77"/>
      <c r="E128" s="62"/>
      <c r="F128" s="83">
        <f t="shared" si="0"/>
        <v>125</v>
      </c>
      <c r="G128" s="84">
        <f t="shared" si="1"/>
        <v>8114.2199844205015</v>
      </c>
      <c r="H128" s="84">
        <f t="shared" si="2"/>
        <v>3179.5698941961932</v>
      </c>
      <c r="I128" s="84">
        <f t="shared" si="3"/>
        <v>4934.6500902243079</v>
      </c>
      <c r="J128" s="84">
        <f t="shared" si="4"/>
        <v>1497258.8991239483</v>
      </c>
      <c r="K128" s="80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ht="15.75" customHeight="1" x14ac:dyDescent="0.25">
      <c r="A129" s="62"/>
      <c r="B129" s="62"/>
      <c r="C129" s="76"/>
      <c r="D129" s="77"/>
      <c r="E129" s="62"/>
      <c r="F129" s="83">
        <f t="shared" si="0"/>
        <v>126</v>
      </c>
      <c r="G129" s="84">
        <f t="shared" si="1"/>
        <v>8114.2199844205015</v>
      </c>
      <c r="H129" s="84">
        <f t="shared" si="2"/>
        <v>3169.2893731748923</v>
      </c>
      <c r="I129" s="84">
        <f t="shared" si="3"/>
        <v>4944.9306112456088</v>
      </c>
      <c r="J129" s="84">
        <f t="shared" si="4"/>
        <v>1492313.9685127027</v>
      </c>
      <c r="K129" s="80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15.75" customHeight="1" x14ac:dyDescent="0.25">
      <c r="A130" s="62"/>
      <c r="B130" s="62"/>
      <c r="C130" s="76"/>
      <c r="D130" s="77"/>
      <c r="E130" s="62"/>
      <c r="F130" s="83">
        <f t="shared" si="0"/>
        <v>127</v>
      </c>
      <c r="G130" s="84">
        <f t="shared" si="1"/>
        <v>8114.2199844205015</v>
      </c>
      <c r="H130" s="84">
        <f t="shared" si="2"/>
        <v>3158.9874344014643</v>
      </c>
      <c r="I130" s="84">
        <f t="shared" si="3"/>
        <v>4955.2325500190373</v>
      </c>
      <c r="J130" s="84">
        <f t="shared" si="4"/>
        <v>1487358.7359626838</v>
      </c>
      <c r="K130" s="80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ht="15.75" customHeight="1" x14ac:dyDescent="0.25">
      <c r="A131" s="62"/>
      <c r="B131" s="62"/>
      <c r="C131" s="76"/>
      <c r="D131" s="77"/>
      <c r="E131" s="62"/>
      <c r="F131" s="83">
        <f t="shared" si="0"/>
        <v>128</v>
      </c>
      <c r="G131" s="84">
        <f t="shared" si="1"/>
        <v>8114.2199844205015</v>
      </c>
      <c r="H131" s="84">
        <f t="shared" si="2"/>
        <v>3148.6640332555912</v>
      </c>
      <c r="I131" s="84">
        <f t="shared" si="3"/>
        <v>4965.5559511649099</v>
      </c>
      <c r="J131" s="84">
        <f t="shared" si="4"/>
        <v>1482393.180011519</v>
      </c>
      <c r="K131" s="80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15.75" customHeight="1" x14ac:dyDescent="0.25">
      <c r="A132" s="62"/>
      <c r="B132" s="62"/>
      <c r="C132" s="76"/>
      <c r="D132" s="77"/>
      <c r="E132" s="62"/>
      <c r="F132" s="83">
        <f t="shared" si="0"/>
        <v>129</v>
      </c>
      <c r="G132" s="84">
        <f t="shared" si="1"/>
        <v>8114.2199844205015</v>
      </c>
      <c r="H132" s="84">
        <f t="shared" si="2"/>
        <v>3138.3191250239979</v>
      </c>
      <c r="I132" s="84">
        <f t="shared" si="3"/>
        <v>4975.9008593965036</v>
      </c>
      <c r="J132" s="84">
        <f t="shared" si="4"/>
        <v>1477417.2791521226</v>
      </c>
      <c r="K132" s="80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ht="15.75" customHeight="1" x14ac:dyDescent="0.25">
      <c r="A133" s="62"/>
      <c r="B133" s="62"/>
      <c r="C133" s="76"/>
      <c r="D133" s="77"/>
      <c r="E133" s="62"/>
      <c r="F133" s="83">
        <f t="shared" si="0"/>
        <v>130</v>
      </c>
      <c r="G133" s="84">
        <f t="shared" si="1"/>
        <v>8114.2199844205015</v>
      </c>
      <c r="H133" s="84">
        <f t="shared" si="2"/>
        <v>3127.9526649002551</v>
      </c>
      <c r="I133" s="84">
        <f t="shared" si="3"/>
        <v>4986.267319520246</v>
      </c>
      <c r="J133" s="84">
        <f t="shared" si="4"/>
        <v>1472431.0118326023</v>
      </c>
      <c r="K133" s="80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ht="15.75" customHeight="1" x14ac:dyDescent="0.25">
      <c r="A134" s="62"/>
      <c r="B134" s="62"/>
      <c r="C134" s="76"/>
      <c r="D134" s="77"/>
      <c r="E134" s="62"/>
      <c r="F134" s="83">
        <f t="shared" si="0"/>
        <v>131</v>
      </c>
      <c r="G134" s="84">
        <f t="shared" si="1"/>
        <v>8114.2199844205015</v>
      </c>
      <c r="H134" s="84">
        <f t="shared" si="2"/>
        <v>3117.5646079845883</v>
      </c>
      <c r="I134" s="84">
        <f t="shared" si="3"/>
        <v>4996.6553764359132</v>
      </c>
      <c r="J134" s="84">
        <f t="shared" si="4"/>
        <v>1467434.3564561664</v>
      </c>
      <c r="K134" s="80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ht="15.75" customHeight="1" x14ac:dyDescent="0.25">
      <c r="A135" s="62"/>
      <c r="B135" s="62"/>
      <c r="C135" s="76"/>
      <c r="D135" s="77"/>
      <c r="E135" s="62"/>
      <c r="F135" s="83">
        <f t="shared" si="0"/>
        <v>132</v>
      </c>
      <c r="G135" s="84">
        <f t="shared" si="1"/>
        <v>8114.2199844205015</v>
      </c>
      <c r="H135" s="84">
        <f t="shared" si="2"/>
        <v>3107.1549092836799</v>
      </c>
      <c r="I135" s="84">
        <f t="shared" si="3"/>
        <v>5007.0650751368212</v>
      </c>
      <c r="J135" s="84">
        <f t="shared" si="4"/>
        <v>1462427.2913810296</v>
      </c>
      <c r="K135" s="80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15.75" customHeight="1" x14ac:dyDescent="0.25">
      <c r="A136" s="62"/>
      <c r="B136" s="62"/>
      <c r="C136" s="76"/>
      <c r="D136" s="77"/>
      <c r="E136" s="62"/>
      <c r="F136" s="83">
        <f t="shared" si="0"/>
        <v>133</v>
      </c>
      <c r="G136" s="84">
        <f t="shared" si="1"/>
        <v>8114.2199844205015</v>
      </c>
      <c r="H136" s="84">
        <f t="shared" si="2"/>
        <v>3096.7235237104783</v>
      </c>
      <c r="I136" s="84">
        <f t="shared" si="3"/>
        <v>5017.4964607100228</v>
      </c>
      <c r="J136" s="84">
        <f t="shared" si="4"/>
        <v>1457409.7949203197</v>
      </c>
      <c r="K136" s="80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ht="15.75" customHeight="1" x14ac:dyDescent="0.25">
      <c r="A137" s="62"/>
      <c r="B137" s="62"/>
      <c r="C137" s="76"/>
      <c r="D137" s="77"/>
      <c r="E137" s="62"/>
      <c r="F137" s="83">
        <f t="shared" si="0"/>
        <v>134</v>
      </c>
      <c r="G137" s="84">
        <f t="shared" si="1"/>
        <v>8114.2199844205015</v>
      </c>
      <c r="H137" s="84">
        <f t="shared" si="2"/>
        <v>3086.2704060839992</v>
      </c>
      <c r="I137" s="84">
        <f t="shared" si="3"/>
        <v>5027.9495783365019</v>
      </c>
      <c r="J137" s="84">
        <f t="shared" si="4"/>
        <v>1452381.8453419833</v>
      </c>
      <c r="K137" s="80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15.75" customHeight="1" x14ac:dyDescent="0.25">
      <c r="A138" s="62"/>
      <c r="B138" s="62"/>
      <c r="C138" s="76"/>
      <c r="D138" s="77"/>
      <c r="E138" s="62"/>
      <c r="F138" s="83">
        <f t="shared" si="0"/>
        <v>135</v>
      </c>
      <c r="G138" s="84">
        <f t="shared" si="1"/>
        <v>8114.2199844205015</v>
      </c>
      <c r="H138" s="84">
        <f t="shared" si="2"/>
        <v>3075.7955111291321</v>
      </c>
      <c r="I138" s="84">
        <f t="shared" si="3"/>
        <v>5038.4244732913694</v>
      </c>
      <c r="J138" s="84">
        <f t="shared" si="4"/>
        <v>1447343.420868692</v>
      </c>
      <c r="K138" s="80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ht="15.75" customHeight="1" x14ac:dyDescent="0.25">
      <c r="A139" s="62"/>
      <c r="B139" s="62"/>
      <c r="C139" s="76"/>
      <c r="D139" s="77"/>
      <c r="E139" s="62"/>
      <c r="F139" s="83">
        <f t="shared" si="0"/>
        <v>136</v>
      </c>
      <c r="G139" s="84">
        <f t="shared" si="1"/>
        <v>8114.2199844205015</v>
      </c>
      <c r="H139" s="84">
        <f t="shared" si="2"/>
        <v>3065.2987934764419</v>
      </c>
      <c r="I139" s="84">
        <f t="shared" si="3"/>
        <v>5048.9211909440601</v>
      </c>
      <c r="J139" s="84">
        <f t="shared" si="4"/>
        <v>1442294.499677748</v>
      </c>
      <c r="K139" s="80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15.75" customHeight="1" x14ac:dyDescent="0.25">
      <c r="A140" s="62"/>
      <c r="B140" s="62"/>
      <c r="C140" s="76"/>
      <c r="D140" s="77"/>
      <c r="E140" s="62"/>
      <c r="F140" s="83">
        <f t="shared" si="0"/>
        <v>137</v>
      </c>
      <c r="G140" s="84">
        <f t="shared" si="1"/>
        <v>8114.2199844205015</v>
      </c>
      <c r="H140" s="84">
        <f t="shared" si="2"/>
        <v>3054.7802076619751</v>
      </c>
      <c r="I140" s="84">
        <f t="shared" si="3"/>
        <v>5059.4397767585269</v>
      </c>
      <c r="J140" s="84">
        <f t="shared" si="4"/>
        <v>1437235.0599009895</v>
      </c>
      <c r="K140" s="80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ht="15.75" customHeight="1" x14ac:dyDescent="0.25">
      <c r="A141" s="62"/>
      <c r="B141" s="62"/>
      <c r="C141" s="76"/>
      <c r="D141" s="77"/>
      <c r="E141" s="62"/>
      <c r="F141" s="83">
        <f t="shared" si="0"/>
        <v>138</v>
      </c>
      <c r="G141" s="84">
        <f t="shared" si="1"/>
        <v>8114.2199844205015</v>
      </c>
      <c r="H141" s="84">
        <f t="shared" si="2"/>
        <v>3044.2397081270615</v>
      </c>
      <c r="I141" s="84">
        <f t="shared" si="3"/>
        <v>5069.9802762934396</v>
      </c>
      <c r="J141" s="84">
        <f t="shared" si="4"/>
        <v>1432165.0796246962</v>
      </c>
      <c r="K141" s="80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15.75" customHeight="1" x14ac:dyDescent="0.25">
      <c r="A142" s="62"/>
      <c r="B142" s="62"/>
      <c r="C142" s="76"/>
      <c r="D142" s="77"/>
      <c r="E142" s="62"/>
      <c r="F142" s="83">
        <f t="shared" si="0"/>
        <v>139</v>
      </c>
      <c r="G142" s="84">
        <f t="shared" si="1"/>
        <v>8114.2199844205015</v>
      </c>
      <c r="H142" s="84">
        <f t="shared" si="2"/>
        <v>3033.6772492181171</v>
      </c>
      <c r="I142" s="84">
        <f t="shared" si="3"/>
        <v>5080.5427352023844</v>
      </c>
      <c r="J142" s="84">
        <f t="shared" si="4"/>
        <v>1427084.5368894937</v>
      </c>
      <c r="K142" s="80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ht="15.75" customHeight="1" x14ac:dyDescent="0.25">
      <c r="A143" s="62"/>
      <c r="B143" s="62"/>
      <c r="C143" s="76"/>
      <c r="D143" s="77"/>
      <c r="E143" s="62"/>
      <c r="F143" s="83">
        <f t="shared" si="0"/>
        <v>140</v>
      </c>
      <c r="G143" s="84">
        <f t="shared" si="1"/>
        <v>8114.2199844205015</v>
      </c>
      <c r="H143" s="84">
        <f t="shared" si="2"/>
        <v>3023.0927851864453</v>
      </c>
      <c r="I143" s="84">
        <f t="shared" si="3"/>
        <v>5091.1271992340562</v>
      </c>
      <c r="J143" s="84">
        <f t="shared" si="4"/>
        <v>1421993.4096902597</v>
      </c>
      <c r="K143" s="80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15.75" customHeight="1" x14ac:dyDescent="0.25">
      <c r="A144" s="62"/>
      <c r="B144" s="62"/>
      <c r="C144" s="76"/>
      <c r="D144" s="77"/>
      <c r="E144" s="62"/>
      <c r="F144" s="83">
        <f t="shared" si="0"/>
        <v>141</v>
      </c>
      <c r="G144" s="84">
        <f t="shared" si="1"/>
        <v>8114.2199844205015</v>
      </c>
      <c r="H144" s="84">
        <f t="shared" si="2"/>
        <v>3012.4862701880411</v>
      </c>
      <c r="I144" s="84">
        <f t="shared" si="3"/>
        <v>5101.7337142324604</v>
      </c>
      <c r="J144" s="84">
        <f t="shared" si="4"/>
        <v>1416891.6759760273</v>
      </c>
      <c r="K144" s="80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ht="15.75" customHeight="1" x14ac:dyDescent="0.25">
      <c r="A145" s="62"/>
      <c r="B145" s="62"/>
      <c r="C145" s="76"/>
      <c r="D145" s="77"/>
      <c r="E145" s="62"/>
      <c r="F145" s="83">
        <f t="shared" si="0"/>
        <v>142</v>
      </c>
      <c r="G145" s="84">
        <f t="shared" si="1"/>
        <v>8114.2199844205015</v>
      </c>
      <c r="H145" s="84">
        <f t="shared" si="2"/>
        <v>3001.8576582833903</v>
      </c>
      <c r="I145" s="84">
        <f t="shared" si="3"/>
        <v>5112.3623261371113</v>
      </c>
      <c r="J145" s="84">
        <f t="shared" si="4"/>
        <v>1411779.3136498902</v>
      </c>
      <c r="K145" s="80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5.75" customHeight="1" x14ac:dyDescent="0.25">
      <c r="A146" s="62"/>
      <c r="B146" s="62"/>
      <c r="C146" s="76"/>
      <c r="D146" s="77"/>
      <c r="E146" s="62"/>
      <c r="F146" s="83">
        <f t="shared" si="0"/>
        <v>143</v>
      </c>
      <c r="G146" s="84">
        <f t="shared" si="1"/>
        <v>8114.2199844205015</v>
      </c>
      <c r="H146" s="84">
        <f t="shared" si="2"/>
        <v>2991.2069034372712</v>
      </c>
      <c r="I146" s="84">
        <f t="shared" si="3"/>
        <v>5123.0130809832299</v>
      </c>
      <c r="J146" s="84">
        <f t="shared" si="4"/>
        <v>1406656.3005689071</v>
      </c>
      <c r="K146" s="80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ht="15.75" customHeight="1" x14ac:dyDescent="0.25">
      <c r="A147" s="62"/>
      <c r="B147" s="62"/>
      <c r="C147" s="76"/>
      <c r="D147" s="77"/>
      <c r="E147" s="62"/>
      <c r="F147" s="83">
        <f t="shared" si="0"/>
        <v>144</v>
      </c>
      <c r="G147" s="84">
        <f t="shared" si="1"/>
        <v>8114.2199844205015</v>
      </c>
      <c r="H147" s="84">
        <f t="shared" si="2"/>
        <v>2980.5339595185565</v>
      </c>
      <c r="I147" s="84">
        <f t="shared" si="3"/>
        <v>5133.6860249019446</v>
      </c>
      <c r="J147" s="84">
        <f t="shared" si="4"/>
        <v>1401522.6145440051</v>
      </c>
      <c r="K147" s="80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5.75" customHeight="1" x14ac:dyDescent="0.25">
      <c r="A148" s="62"/>
      <c r="B148" s="62"/>
      <c r="C148" s="76"/>
      <c r="D148" s="77"/>
      <c r="E148" s="62"/>
      <c r="F148" s="83">
        <f t="shared" si="0"/>
        <v>145</v>
      </c>
      <c r="G148" s="84">
        <f t="shared" si="1"/>
        <v>8114.2199844205015</v>
      </c>
      <c r="H148" s="84">
        <f t="shared" si="2"/>
        <v>2969.838780300011</v>
      </c>
      <c r="I148" s="84">
        <f t="shared" si="3"/>
        <v>5144.381204120491</v>
      </c>
      <c r="J148" s="84">
        <f t="shared" si="4"/>
        <v>1396378.2333398846</v>
      </c>
      <c r="K148" s="80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ht="15.75" customHeight="1" x14ac:dyDescent="0.25">
      <c r="A149" s="62"/>
      <c r="B149" s="62"/>
      <c r="C149" s="76"/>
      <c r="D149" s="77"/>
      <c r="E149" s="62"/>
      <c r="F149" s="83">
        <f t="shared" si="0"/>
        <v>146</v>
      </c>
      <c r="G149" s="84">
        <f t="shared" si="1"/>
        <v>8114.2199844205015</v>
      </c>
      <c r="H149" s="84">
        <f t="shared" si="2"/>
        <v>2959.1213194580928</v>
      </c>
      <c r="I149" s="84">
        <f t="shared" si="3"/>
        <v>5155.0986649624083</v>
      </c>
      <c r="J149" s="84">
        <f t="shared" si="4"/>
        <v>1391223.1346749221</v>
      </c>
      <c r="K149" s="80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5.75" customHeight="1" x14ac:dyDescent="0.25">
      <c r="A150" s="62"/>
      <c r="B150" s="62"/>
      <c r="C150" s="76"/>
      <c r="D150" s="77"/>
      <c r="E150" s="62"/>
      <c r="F150" s="83">
        <f t="shared" si="0"/>
        <v>147</v>
      </c>
      <c r="G150" s="84">
        <f t="shared" si="1"/>
        <v>8114.2199844205015</v>
      </c>
      <c r="H150" s="84">
        <f t="shared" si="2"/>
        <v>2948.3815305727544</v>
      </c>
      <c r="I150" s="84">
        <f t="shared" si="3"/>
        <v>5165.8384538477476</v>
      </c>
      <c r="J150" s="84">
        <f t="shared" si="4"/>
        <v>1386057.2962210744</v>
      </c>
      <c r="K150" s="80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ht="15.75" customHeight="1" x14ac:dyDescent="0.25">
      <c r="A151" s="62"/>
      <c r="B151" s="62"/>
      <c r="C151" s="76"/>
      <c r="D151" s="77"/>
      <c r="E151" s="62"/>
      <c r="F151" s="83">
        <f t="shared" si="0"/>
        <v>148</v>
      </c>
      <c r="G151" s="84">
        <f t="shared" si="1"/>
        <v>8114.2199844205015</v>
      </c>
      <c r="H151" s="84">
        <f t="shared" si="2"/>
        <v>2937.6193671272381</v>
      </c>
      <c r="I151" s="84">
        <f t="shared" si="3"/>
        <v>5176.600617293263</v>
      </c>
      <c r="J151" s="84">
        <f t="shared" si="4"/>
        <v>1380880.6956037811</v>
      </c>
      <c r="K151" s="80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ht="15.75" customHeight="1" x14ac:dyDescent="0.25">
      <c r="A152" s="62"/>
      <c r="B152" s="62"/>
      <c r="C152" s="76"/>
      <c r="D152" s="77"/>
      <c r="E152" s="62"/>
      <c r="F152" s="83">
        <f t="shared" si="0"/>
        <v>149</v>
      </c>
      <c r="G152" s="84">
        <f t="shared" si="1"/>
        <v>8114.2199844205015</v>
      </c>
      <c r="H152" s="84">
        <f t="shared" si="2"/>
        <v>2926.8347825078777</v>
      </c>
      <c r="I152" s="84">
        <f t="shared" si="3"/>
        <v>5187.3852019126243</v>
      </c>
      <c r="J152" s="84">
        <f t="shared" si="4"/>
        <v>1375693.3104018685</v>
      </c>
      <c r="K152" s="80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ht="15.75" customHeight="1" x14ac:dyDescent="0.25">
      <c r="A153" s="62"/>
      <c r="B153" s="62"/>
      <c r="C153" s="76"/>
      <c r="D153" s="77"/>
      <c r="E153" s="62"/>
      <c r="F153" s="83">
        <f t="shared" si="0"/>
        <v>150</v>
      </c>
      <c r="G153" s="84">
        <f t="shared" si="1"/>
        <v>8114.2199844205015</v>
      </c>
      <c r="H153" s="84">
        <f t="shared" si="2"/>
        <v>2916.0277300038929</v>
      </c>
      <c r="I153" s="84">
        <f t="shared" si="3"/>
        <v>5198.1922544166082</v>
      </c>
      <c r="J153" s="84">
        <f t="shared" si="4"/>
        <v>1370495.1181474519</v>
      </c>
      <c r="K153" s="80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5.75" customHeight="1" x14ac:dyDescent="0.25">
      <c r="A154" s="62"/>
      <c r="B154" s="62"/>
      <c r="C154" s="76"/>
      <c r="D154" s="77"/>
      <c r="E154" s="62"/>
      <c r="F154" s="83">
        <f t="shared" si="0"/>
        <v>151</v>
      </c>
      <c r="G154" s="84">
        <f t="shared" si="1"/>
        <v>8114.2199844205015</v>
      </c>
      <c r="H154" s="84">
        <f t="shared" si="2"/>
        <v>2905.1981628071917</v>
      </c>
      <c r="I154" s="84">
        <f t="shared" si="3"/>
        <v>5209.0218216133098</v>
      </c>
      <c r="J154" s="84">
        <f t="shared" si="4"/>
        <v>1365286.0963258385</v>
      </c>
      <c r="K154" s="80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ht="15.75" customHeight="1" x14ac:dyDescent="0.25">
      <c r="A155" s="62"/>
      <c r="B155" s="62"/>
      <c r="C155" s="76"/>
      <c r="D155" s="77"/>
      <c r="E155" s="62"/>
      <c r="F155" s="83">
        <f t="shared" si="0"/>
        <v>152</v>
      </c>
      <c r="G155" s="84">
        <f t="shared" si="1"/>
        <v>8114.2199844205015</v>
      </c>
      <c r="H155" s="84">
        <f t="shared" si="2"/>
        <v>2894.3460340121637</v>
      </c>
      <c r="I155" s="84">
        <f t="shared" si="3"/>
        <v>5219.8739504083378</v>
      </c>
      <c r="J155" s="84">
        <f t="shared" si="4"/>
        <v>1360066.2223754302</v>
      </c>
      <c r="K155" s="80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5.75" customHeight="1" x14ac:dyDescent="0.25">
      <c r="A156" s="62"/>
      <c r="B156" s="62"/>
      <c r="C156" s="76"/>
      <c r="D156" s="77"/>
      <c r="E156" s="62"/>
      <c r="F156" s="83">
        <f t="shared" si="0"/>
        <v>153</v>
      </c>
      <c r="G156" s="84">
        <f t="shared" si="1"/>
        <v>8114.2199844205015</v>
      </c>
      <c r="H156" s="84">
        <f t="shared" si="2"/>
        <v>2883.4712966154798</v>
      </c>
      <c r="I156" s="84">
        <f t="shared" si="3"/>
        <v>5230.7486878050222</v>
      </c>
      <c r="J156" s="84">
        <f t="shared" si="4"/>
        <v>1354835.4736876253</v>
      </c>
      <c r="K156" s="80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ht="15.75" customHeight="1" x14ac:dyDescent="0.25">
      <c r="A157" s="62"/>
      <c r="B157" s="62"/>
      <c r="C157" s="76"/>
      <c r="D157" s="77"/>
      <c r="E157" s="62"/>
      <c r="F157" s="83">
        <f t="shared" si="0"/>
        <v>154</v>
      </c>
      <c r="G157" s="84">
        <f t="shared" si="1"/>
        <v>8114.2199844205015</v>
      </c>
      <c r="H157" s="84">
        <f t="shared" si="2"/>
        <v>2872.5739035158858</v>
      </c>
      <c r="I157" s="84">
        <f t="shared" si="3"/>
        <v>5241.6460809046157</v>
      </c>
      <c r="J157" s="84">
        <f t="shared" si="4"/>
        <v>1349593.8276067206</v>
      </c>
      <c r="K157" s="80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5.75" customHeight="1" x14ac:dyDescent="0.25">
      <c r="A158" s="62"/>
      <c r="B158" s="62"/>
      <c r="C158" s="76"/>
      <c r="D158" s="77"/>
      <c r="E158" s="62"/>
      <c r="F158" s="83">
        <f t="shared" si="0"/>
        <v>155</v>
      </c>
      <c r="G158" s="84">
        <f t="shared" si="1"/>
        <v>8114.2199844205015</v>
      </c>
      <c r="H158" s="84">
        <f t="shared" si="2"/>
        <v>2861.6538075140015</v>
      </c>
      <c r="I158" s="84">
        <f t="shared" si="3"/>
        <v>5252.5661769065</v>
      </c>
      <c r="J158" s="84">
        <f t="shared" si="4"/>
        <v>1344341.2614298142</v>
      </c>
      <c r="K158" s="80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ht="15.75" customHeight="1" x14ac:dyDescent="0.25">
      <c r="A159" s="62"/>
      <c r="B159" s="62"/>
      <c r="C159" s="76"/>
      <c r="D159" s="77"/>
      <c r="E159" s="62"/>
      <c r="F159" s="83">
        <f t="shared" si="0"/>
        <v>156</v>
      </c>
      <c r="G159" s="84">
        <f t="shared" si="1"/>
        <v>8114.2199844205015</v>
      </c>
      <c r="H159" s="84">
        <f t="shared" si="2"/>
        <v>2850.7109613121133</v>
      </c>
      <c r="I159" s="84">
        <f t="shared" si="3"/>
        <v>5263.5090231083886</v>
      </c>
      <c r="J159" s="84">
        <f t="shared" si="4"/>
        <v>1339077.7524067059</v>
      </c>
      <c r="K159" s="80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5.75" customHeight="1" x14ac:dyDescent="0.25">
      <c r="A160" s="62"/>
      <c r="B160" s="62"/>
      <c r="C160" s="76"/>
      <c r="D160" s="77"/>
      <c r="E160" s="62"/>
      <c r="F160" s="83">
        <f t="shared" si="0"/>
        <v>157</v>
      </c>
      <c r="G160" s="84">
        <f t="shared" si="1"/>
        <v>8114.2199844205015</v>
      </c>
      <c r="H160" s="84">
        <f t="shared" si="2"/>
        <v>2839.7453175139708</v>
      </c>
      <c r="I160" s="84">
        <f t="shared" si="3"/>
        <v>5274.4746669065307</v>
      </c>
      <c r="J160" s="84">
        <f t="shared" si="4"/>
        <v>1333803.2777397993</v>
      </c>
      <c r="K160" s="80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ht="15.75" customHeight="1" x14ac:dyDescent="0.25">
      <c r="A161" s="62"/>
      <c r="B161" s="62"/>
      <c r="C161" s="76"/>
      <c r="D161" s="77"/>
      <c r="E161" s="62"/>
      <c r="F161" s="83">
        <f t="shared" si="0"/>
        <v>158</v>
      </c>
      <c r="G161" s="84">
        <f t="shared" si="1"/>
        <v>8114.2199844205015</v>
      </c>
      <c r="H161" s="84">
        <f t="shared" si="2"/>
        <v>2828.7568286245823</v>
      </c>
      <c r="I161" s="84">
        <f t="shared" si="3"/>
        <v>5285.4631557959192</v>
      </c>
      <c r="J161" s="84">
        <f t="shared" si="4"/>
        <v>1328517.8145840035</v>
      </c>
      <c r="K161" s="80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5.75" customHeight="1" x14ac:dyDescent="0.25">
      <c r="A162" s="62"/>
      <c r="B162" s="62"/>
      <c r="C162" s="76"/>
      <c r="D162" s="77"/>
      <c r="E162" s="62"/>
      <c r="F162" s="83">
        <f t="shared" si="0"/>
        <v>159</v>
      </c>
      <c r="G162" s="84">
        <f t="shared" si="1"/>
        <v>8114.2199844205015</v>
      </c>
      <c r="H162" s="84">
        <f t="shared" si="2"/>
        <v>2817.7454470500074</v>
      </c>
      <c r="I162" s="84">
        <f t="shared" si="3"/>
        <v>5296.4745373704936</v>
      </c>
      <c r="J162" s="84">
        <f t="shared" si="4"/>
        <v>1323221.340046633</v>
      </c>
      <c r="K162" s="80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ht="15.75" customHeight="1" x14ac:dyDescent="0.25">
      <c r="A163" s="62"/>
      <c r="B163" s="62"/>
      <c r="C163" s="76"/>
      <c r="D163" s="77"/>
      <c r="E163" s="62"/>
      <c r="F163" s="83">
        <f t="shared" si="0"/>
        <v>160</v>
      </c>
      <c r="G163" s="84">
        <f t="shared" si="1"/>
        <v>8114.2199844205015</v>
      </c>
      <c r="H163" s="84">
        <f t="shared" si="2"/>
        <v>2806.711125097152</v>
      </c>
      <c r="I163" s="84">
        <f t="shared" si="3"/>
        <v>5307.5088593233495</v>
      </c>
      <c r="J163" s="84">
        <f t="shared" si="4"/>
        <v>1317913.8311873097</v>
      </c>
      <c r="K163" s="80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5.75" customHeight="1" x14ac:dyDescent="0.25">
      <c r="A164" s="62"/>
      <c r="B164" s="62"/>
      <c r="C164" s="76"/>
      <c r="D164" s="77"/>
      <c r="E164" s="62"/>
      <c r="F164" s="83">
        <f t="shared" si="0"/>
        <v>161</v>
      </c>
      <c r="G164" s="84">
        <f t="shared" si="1"/>
        <v>8114.2199844205015</v>
      </c>
      <c r="H164" s="84">
        <f t="shared" si="2"/>
        <v>2795.653814973562</v>
      </c>
      <c r="I164" s="84">
        <f t="shared" si="3"/>
        <v>5318.56616944694</v>
      </c>
      <c r="J164" s="84">
        <f t="shared" si="4"/>
        <v>1312595.2650178627</v>
      </c>
      <c r="K164" s="80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ht="15.75" customHeight="1" x14ac:dyDescent="0.25">
      <c r="A165" s="62"/>
      <c r="B165" s="62"/>
      <c r="C165" s="76"/>
      <c r="D165" s="77"/>
      <c r="E165" s="62"/>
      <c r="F165" s="83">
        <f t="shared" si="0"/>
        <v>162</v>
      </c>
      <c r="G165" s="84">
        <f t="shared" si="1"/>
        <v>8114.2199844205015</v>
      </c>
      <c r="H165" s="84">
        <f t="shared" si="2"/>
        <v>2784.5734687872141</v>
      </c>
      <c r="I165" s="84">
        <f t="shared" si="3"/>
        <v>5329.646515633287</v>
      </c>
      <c r="J165" s="84">
        <f t="shared" si="4"/>
        <v>1307265.6185022295</v>
      </c>
      <c r="K165" s="80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5.75" customHeight="1" x14ac:dyDescent="0.25">
      <c r="A166" s="62"/>
      <c r="B166" s="62"/>
      <c r="C166" s="76"/>
      <c r="D166" s="77"/>
      <c r="E166" s="62"/>
      <c r="F166" s="83">
        <f t="shared" si="0"/>
        <v>163</v>
      </c>
      <c r="G166" s="84">
        <f t="shared" si="1"/>
        <v>8114.2199844205015</v>
      </c>
      <c r="H166" s="84">
        <f t="shared" si="2"/>
        <v>2773.4700385463116</v>
      </c>
      <c r="I166" s="84">
        <f t="shared" si="3"/>
        <v>5340.7499458741895</v>
      </c>
      <c r="J166" s="84">
        <f t="shared" si="4"/>
        <v>1301924.8685563554</v>
      </c>
      <c r="K166" s="80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ht="15.75" customHeight="1" x14ac:dyDescent="0.25">
      <c r="A167" s="62"/>
      <c r="B167" s="62"/>
      <c r="C167" s="76"/>
      <c r="D167" s="77"/>
      <c r="E167" s="62"/>
      <c r="F167" s="83">
        <f t="shared" si="0"/>
        <v>164</v>
      </c>
      <c r="G167" s="84">
        <f t="shared" si="1"/>
        <v>8114.2199844205015</v>
      </c>
      <c r="H167" s="84">
        <f t="shared" si="2"/>
        <v>2762.3434761590738</v>
      </c>
      <c r="I167" s="84">
        <f t="shared" si="3"/>
        <v>5351.8765082614282</v>
      </c>
      <c r="J167" s="84">
        <f t="shared" si="4"/>
        <v>1296572.9920480938</v>
      </c>
      <c r="K167" s="80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ht="15.75" customHeight="1" x14ac:dyDescent="0.25">
      <c r="A168" s="62"/>
      <c r="B168" s="62"/>
      <c r="C168" s="76"/>
      <c r="D168" s="77"/>
      <c r="E168" s="62"/>
      <c r="F168" s="83">
        <f t="shared" si="0"/>
        <v>165</v>
      </c>
      <c r="G168" s="84">
        <f t="shared" si="1"/>
        <v>8114.2199844205015</v>
      </c>
      <c r="H168" s="84">
        <f t="shared" si="2"/>
        <v>2751.1937334335289</v>
      </c>
      <c r="I168" s="84">
        <f t="shared" si="3"/>
        <v>5363.0262509869726</v>
      </c>
      <c r="J168" s="84">
        <f t="shared" si="4"/>
        <v>1291209.9657971067</v>
      </c>
      <c r="K168" s="80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ht="15.75" customHeight="1" x14ac:dyDescent="0.25">
      <c r="A169" s="62"/>
      <c r="B169" s="62"/>
      <c r="C169" s="76"/>
      <c r="D169" s="77"/>
      <c r="E169" s="62"/>
      <c r="F169" s="83">
        <f t="shared" si="0"/>
        <v>166</v>
      </c>
      <c r="G169" s="84">
        <f t="shared" si="1"/>
        <v>8114.2199844205015</v>
      </c>
      <c r="H169" s="84">
        <f t="shared" si="2"/>
        <v>2740.0207620773058</v>
      </c>
      <c r="I169" s="84">
        <f t="shared" si="3"/>
        <v>5374.1992223431953</v>
      </c>
      <c r="J169" s="84">
        <f t="shared" si="4"/>
        <v>1285835.7665747635</v>
      </c>
      <c r="K169" s="80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ht="15.75" customHeight="1" x14ac:dyDescent="0.25">
      <c r="A170" s="62"/>
      <c r="B170" s="62"/>
      <c r="C170" s="76"/>
      <c r="D170" s="77"/>
      <c r="E170" s="62"/>
      <c r="F170" s="83">
        <f t="shared" si="0"/>
        <v>167</v>
      </c>
      <c r="G170" s="84">
        <f t="shared" si="1"/>
        <v>8114.2199844205015</v>
      </c>
      <c r="H170" s="84">
        <f t="shared" si="2"/>
        <v>2728.8245136974242</v>
      </c>
      <c r="I170" s="84">
        <f t="shared" si="3"/>
        <v>5385.3954707230769</v>
      </c>
      <c r="J170" s="84">
        <f t="shared" si="4"/>
        <v>1280450.3711040404</v>
      </c>
      <c r="K170" s="80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ht="15.75" customHeight="1" x14ac:dyDescent="0.25">
      <c r="A171" s="62"/>
      <c r="B171" s="62"/>
      <c r="C171" s="76"/>
      <c r="D171" s="77"/>
      <c r="E171" s="62"/>
      <c r="F171" s="83">
        <f t="shared" si="0"/>
        <v>168</v>
      </c>
      <c r="G171" s="84">
        <f t="shared" si="1"/>
        <v>8114.2199844205015</v>
      </c>
      <c r="H171" s="84">
        <f t="shared" si="2"/>
        <v>2717.6049398000846</v>
      </c>
      <c r="I171" s="84">
        <f t="shared" si="3"/>
        <v>5396.6150446204174</v>
      </c>
      <c r="J171" s="84">
        <f t="shared" si="4"/>
        <v>1275053.7560594201</v>
      </c>
      <c r="K171" s="80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ht="15.75" customHeight="1" x14ac:dyDescent="0.25">
      <c r="A172" s="62"/>
      <c r="B172" s="62"/>
      <c r="C172" s="76"/>
      <c r="D172" s="77"/>
      <c r="E172" s="62"/>
      <c r="F172" s="83">
        <f t="shared" si="0"/>
        <v>169</v>
      </c>
      <c r="G172" s="84">
        <f t="shared" si="1"/>
        <v>8114.2199844205015</v>
      </c>
      <c r="H172" s="84">
        <f t="shared" si="2"/>
        <v>2706.3619917904584</v>
      </c>
      <c r="I172" s="84">
        <f t="shared" si="3"/>
        <v>5407.8579926300426</v>
      </c>
      <c r="J172" s="84">
        <f t="shared" si="4"/>
        <v>1269645.8980667901</v>
      </c>
      <c r="K172" s="80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ht="15.75" customHeight="1" x14ac:dyDescent="0.25">
      <c r="A173" s="62"/>
      <c r="B173" s="62"/>
      <c r="C173" s="76"/>
      <c r="D173" s="77"/>
      <c r="E173" s="62"/>
      <c r="F173" s="83">
        <f t="shared" si="0"/>
        <v>170</v>
      </c>
      <c r="G173" s="84">
        <f t="shared" si="1"/>
        <v>8114.2199844205015</v>
      </c>
      <c r="H173" s="84">
        <f t="shared" si="2"/>
        <v>2695.0956209724795</v>
      </c>
      <c r="I173" s="84">
        <f t="shared" si="3"/>
        <v>5419.1243634480215</v>
      </c>
      <c r="J173" s="84">
        <f t="shared" si="4"/>
        <v>1264226.7737033421</v>
      </c>
      <c r="K173" s="80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ht="15.75" customHeight="1" x14ac:dyDescent="0.25">
      <c r="A174" s="62"/>
      <c r="B174" s="62"/>
      <c r="C174" s="76"/>
      <c r="D174" s="77"/>
      <c r="E174" s="62"/>
      <c r="F174" s="83">
        <f t="shared" si="0"/>
        <v>171</v>
      </c>
      <c r="G174" s="84">
        <f t="shared" si="1"/>
        <v>8114.2199844205015</v>
      </c>
      <c r="H174" s="84">
        <f t="shared" si="2"/>
        <v>2683.8057785486294</v>
      </c>
      <c r="I174" s="84">
        <f t="shared" si="3"/>
        <v>5430.4142058718717</v>
      </c>
      <c r="J174" s="84">
        <f t="shared" si="4"/>
        <v>1258796.3594974703</v>
      </c>
      <c r="K174" s="80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ht="15.75" customHeight="1" x14ac:dyDescent="0.25">
      <c r="A175" s="62"/>
      <c r="B175" s="62"/>
      <c r="C175" s="76"/>
      <c r="D175" s="77"/>
      <c r="E175" s="62"/>
      <c r="F175" s="83">
        <f t="shared" si="0"/>
        <v>172</v>
      </c>
      <c r="G175" s="84">
        <f t="shared" si="1"/>
        <v>8114.2199844205015</v>
      </c>
      <c r="H175" s="84">
        <f t="shared" si="2"/>
        <v>2672.4924156197299</v>
      </c>
      <c r="I175" s="84">
        <f t="shared" si="3"/>
        <v>5441.7275688007721</v>
      </c>
      <c r="J175" s="84">
        <f t="shared" si="4"/>
        <v>1253354.6319286695</v>
      </c>
      <c r="K175" s="80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ht="15.75" customHeight="1" x14ac:dyDescent="0.25">
      <c r="A176" s="62"/>
      <c r="B176" s="62"/>
      <c r="C176" s="76"/>
      <c r="D176" s="77"/>
      <c r="E176" s="62"/>
      <c r="F176" s="83">
        <f t="shared" si="0"/>
        <v>173</v>
      </c>
      <c r="G176" s="84">
        <f t="shared" si="1"/>
        <v>8114.2199844205015</v>
      </c>
      <c r="H176" s="84">
        <f t="shared" si="2"/>
        <v>2661.1554831847284</v>
      </c>
      <c r="I176" s="84">
        <f t="shared" si="3"/>
        <v>5453.0645012357727</v>
      </c>
      <c r="J176" s="84">
        <f t="shared" si="4"/>
        <v>1247901.5674274338</v>
      </c>
      <c r="K176" s="80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ht="15.75" customHeight="1" x14ac:dyDescent="0.25">
      <c r="A177" s="62"/>
      <c r="B177" s="62"/>
      <c r="C177" s="76"/>
      <c r="D177" s="77"/>
      <c r="E177" s="62"/>
      <c r="F177" s="83">
        <f t="shared" si="0"/>
        <v>174</v>
      </c>
      <c r="G177" s="84">
        <f t="shared" si="1"/>
        <v>8114.2199844205015</v>
      </c>
      <c r="H177" s="84">
        <f t="shared" si="2"/>
        <v>2649.7949321404872</v>
      </c>
      <c r="I177" s="84">
        <f t="shared" si="3"/>
        <v>5464.4250522800139</v>
      </c>
      <c r="J177" s="84">
        <f t="shared" si="4"/>
        <v>1242437.1423751537</v>
      </c>
      <c r="K177" s="80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ht="15.75" customHeight="1" x14ac:dyDescent="0.25">
      <c r="A178" s="62"/>
      <c r="B178" s="62"/>
      <c r="C178" s="76"/>
      <c r="D178" s="77"/>
      <c r="E178" s="62"/>
      <c r="F178" s="83">
        <f t="shared" si="0"/>
        <v>175</v>
      </c>
      <c r="G178" s="84">
        <f t="shared" si="1"/>
        <v>8114.2199844205015</v>
      </c>
      <c r="H178" s="84">
        <f t="shared" si="2"/>
        <v>2638.4107132815702</v>
      </c>
      <c r="I178" s="84">
        <f t="shared" si="3"/>
        <v>5475.8092711389309</v>
      </c>
      <c r="J178" s="84">
        <f t="shared" si="4"/>
        <v>1236961.3331040149</v>
      </c>
      <c r="K178" s="80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ht="15.75" customHeight="1" x14ac:dyDescent="0.25">
      <c r="A179" s="62"/>
      <c r="B179" s="62"/>
      <c r="C179" s="76"/>
      <c r="D179" s="77"/>
      <c r="E179" s="62"/>
      <c r="F179" s="83">
        <f t="shared" si="0"/>
        <v>176</v>
      </c>
      <c r="G179" s="84">
        <f t="shared" si="1"/>
        <v>8114.2199844205015</v>
      </c>
      <c r="H179" s="84">
        <f t="shared" si="2"/>
        <v>2627.0027773000311</v>
      </c>
      <c r="I179" s="84">
        <f t="shared" si="3"/>
        <v>5487.2172071204704</v>
      </c>
      <c r="J179" s="84">
        <f t="shared" si="4"/>
        <v>1231474.1158968944</v>
      </c>
      <c r="K179" s="80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ht="15.75" customHeight="1" x14ac:dyDescent="0.25">
      <c r="A180" s="62"/>
      <c r="B180" s="62"/>
      <c r="C180" s="76"/>
      <c r="D180" s="77"/>
      <c r="E180" s="62"/>
      <c r="F180" s="83">
        <f t="shared" si="0"/>
        <v>177</v>
      </c>
      <c r="G180" s="84">
        <f t="shared" si="1"/>
        <v>8114.2199844205015</v>
      </c>
      <c r="H180" s="84">
        <f t="shared" si="2"/>
        <v>2615.5710747851967</v>
      </c>
      <c r="I180" s="84">
        <f t="shared" si="3"/>
        <v>5498.6489096353052</v>
      </c>
      <c r="J180" s="84">
        <f t="shared" si="4"/>
        <v>1225975.466987259</v>
      </c>
      <c r="K180" s="80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ht="15.75" customHeight="1" x14ac:dyDescent="0.25">
      <c r="A181" s="62"/>
      <c r="B181" s="62"/>
      <c r="C181" s="76"/>
      <c r="D181" s="77"/>
      <c r="E181" s="62"/>
      <c r="F181" s="83">
        <f t="shared" si="0"/>
        <v>178</v>
      </c>
      <c r="G181" s="84">
        <f t="shared" si="1"/>
        <v>8114.2199844205015</v>
      </c>
      <c r="H181" s="84">
        <f t="shared" si="2"/>
        <v>2604.1155562234562</v>
      </c>
      <c r="I181" s="84">
        <f t="shared" si="3"/>
        <v>5510.1044281970453</v>
      </c>
      <c r="J181" s="84">
        <f t="shared" si="4"/>
        <v>1220465.362559062</v>
      </c>
      <c r="K181" s="80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ht="15.75" customHeight="1" x14ac:dyDescent="0.25">
      <c r="A182" s="62"/>
      <c r="B182" s="62"/>
      <c r="C182" s="76"/>
      <c r="D182" s="77"/>
      <c r="E182" s="62"/>
      <c r="F182" s="83">
        <f t="shared" si="0"/>
        <v>179</v>
      </c>
      <c r="G182" s="84">
        <f t="shared" si="1"/>
        <v>8114.2199844205015</v>
      </c>
      <c r="H182" s="84">
        <f t="shared" si="2"/>
        <v>2592.6361719980459</v>
      </c>
      <c r="I182" s="84">
        <f t="shared" si="3"/>
        <v>5521.5838124224556</v>
      </c>
      <c r="J182" s="84">
        <f t="shared" si="4"/>
        <v>1214943.7787466396</v>
      </c>
      <c r="K182" s="80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ht="15.75" customHeight="1" x14ac:dyDescent="0.25">
      <c r="A183" s="62"/>
      <c r="B183" s="62"/>
      <c r="C183" s="76"/>
      <c r="D183" s="77"/>
      <c r="E183" s="62"/>
      <c r="F183" s="83">
        <f t="shared" si="0"/>
        <v>180</v>
      </c>
      <c r="G183" s="84">
        <f t="shared" si="1"/>
        <v>8114.2199844205015</v>
      </c>
      <c r="H183" s="84">
        <f t="shared" si="2"/>
        <v>2581.1328723888328</v>
      </c>
      <c r="I183" s="84">
        <f t="shared" si="3"/>
        <v>5533.0871120316688</v>
      </c>
      <c r="J183" s="84">
        <f t="shared" si="4"/>
        <v>1209410.691634608</v>
      </c>
      <c r="K183" s="80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ht="15.75" customHeight="1" x14ac:dyDescent="0.25">
      <c r="A184" s="62"/>
      <c r="B184" s="62"/>
      <c r="C184" s="76"/>
      <c r="D184" s="77"/>
      <c r="E184" s="62"/>
      <c r="F184" s="83">
        <f t="shared" si="0"/>
        <v>181</v>
      </c>
      <c r="G184" s="84">
        <f t="shared" si="1"/>
        <v>8114.2199844205015</v>
      </c>
      <c r="H184" s="84">
        <f t="shared" si="2"/>
        <v>2569.6056075721003</v>
      </c>
      <c r="I184" s="84">
        <f t="shared" si="3"/>
        <v>5544.6143768484017</v>
      </c>
      <c r="J184" s="84">
        <f t="shared" si="4"/>
        <v>1203866.0772577596</v>
      </c>
      <c r="K184" s="80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ht="15.75" customHeight="1" x14ac:dyDescent="0.25">
      <c r="A185" s="62"/>
      <c r="B185" s="62"/>
      <c r="C185" s="76"/>
      <c r="D185" s="77"/>
      <c r="E185" s="62"/>
      <c r="F185" s="83">
        <f t="shared" si="0"/>
        <v>182</v>
      </c>
      <c r="G185" s="84">
        <f t="shared" si="1"/>
        <v>8114.2199844205015</v>
      </c>
      <c r="H185" s="84">
        <f t="shared" si="2"/>
        <v>2558.054327620333</v>
      </c>
      <c r="I185" s="84">
        <f t="shared" si="3"/>
        <v>5556.165656800169</v>
      </c>
      <c r="J185" s="84">
        <f t="shared" si="4"/>
        <v>1198309.9116009595</v>
      </c>
      <c r="K185" s="80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ht="15.75" customHeight="1" x14ac:dyDescent="0.25">
      <c r="A186" s="62"/>
      <c r="B186" s="62"/>
      <c r="C186" s="76"/>
      <c r="D186" s="77"/>
      <c r="E186" s="62"/>
      <c r="F186" s="83">
        <f t="shared" si="0"/>
        <v>183</v>
      </c>
      <c r="G186" s="84">
        <f t="shared" si="1"/>
        <v>8114.2199844205015</v>
      </c>
      <c r="H186" s="84">
        <f t="shared" si="2"/>
        <v>2546.4789825019993</v>
      </c>
      <c r="I186" s="84">
        <f t="shared" si="3"/>
        <v>5567.7410019185027</v>
      </c>
      <c r="J186" s="84">
        <f t="shared" si="4"/>
        <v>1192742.170599041</v>
      </c>
      <c r="K186" s="80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ht="15.75" customHeight="1" x14ac:dyDescent="0.25">
      <c r="A187" s="62"/>
      <c r="B187" s="62"/>
      <c r="C187" s="76"/>
      <c r="D187" s="77"/>
      <c r="E187" s="62"/>
      <c r="F187" s="83">
        <f t="shared" si="0"/>
        <v>184</v>
      </c>
      <c r="G187" s="84">
        <f t="shared" si="1"/>
        <v>8114.2199844205015</v>
      </c>
      <c r="H187" s="84">
        <f t="shared" si="2"/>
        <v>2534.8795220813358</v>
      </c>
      <c r="I187" s="84">
        <f t="shared" si="3"/>
        <v>5579.3404623391652</v>
      </c>
      <c r="J187" s="84">
        <f t="shared" si="4"/>
        <v>1187162.8301367019</v>
      </c>
      <c r="K187" s="80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ht="15.75" customHeight="1" x14ac:dyDescent="0.25">
      <c r="A188" s="62"/>
      <c r="B188" s="62"/>
      <c r="C188" s="76"/>
      <c r="D188" s="77"/>
      <c r="E188" s="62"/>
      <c r="F188" s="83">
        <f t="shared" si="0"/>
        <v>185</v>
      </c>
      <c r="G188" s="84">
        <f t="shared" si="1"/>
        <v>8114.2199844205015</v>
      </c>
      <c r="H188" s="84">
        <f t="shared" si="2"/>
        <v>2523.2558961181289</v>
      </c>
      <c r="I188" s="84">
        <f t="shared" si="3"/>
        <v>5590.9640883023731</v>
      </c>
      <c r="J188" s="84">
        <f t="shared" si="4"/>
        <v>1181571.8660483996</v>
      </c>
      <c r="K188" s="80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ht="15.75" customHeight="1" x14ac:dyDescent="0.25">
      <c r="A189" s="62"/>
      <c r="B189" s="62"/>
      <c r="C189" s="76"/>
      <c r="D189" s="77"/>
      <c r="E189" s="62"/>
      <c r="F189" s="83">
        <f t="shared" si="0"/>
        <v>186</v>
      </c>
      <c r="G189" s="84">
        <f t="shared" si="1"/>
        <v>8114.2199844205015</v>
      </c>
      <c r="H189" s="84">
        <f t="shared" si="2"/>
        <v>2511.6080542674995</v>
      </c>
      <c r="I189" s="84">
        <f t="shared" si="3"/>
        <v>5602.6119301530016</v>
      </c>
      <c r="J189" s="84">
        <f t="shared" si="4"/>
        <v>1175969.2541182465</v>
      </c>
      <c r="K189" s="80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ht="15.75" customHeight="1" x14ac:dyDescent="0.25">
      <c r="A190" s="62"/>
      <c r="B190" s="62"/>
      <c r="C190" s="76"/>
      <c r="D190" s="77"/>
      <c r="E190" s="62"/>
      <c r="F190" s="83">
        <f t="shared" si="0"/>
        <v>187</v>
      </c>
      <c r="G190" s="84">
        <f t="shared" si="1"/>
        <v>8114.2199844205015</v>
      </c>
      <c r="H190" s="84">
        <f t="shared" si="2"/>
        <v>2499.9359460796804</v>
      </c>
      <c r="I190" s="84">
        <f t="shared" si="3"/>
        <v>5614.2840383408211</v>
      </c>
      <c r="J190" s="84">
        <f t="shared" si="4"/>
        <v>1170354.9700799056</v>
      </c>
      <c r="K190" s="80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ht="15.75" customHeight="1" x14ac:dyDescent="0.25">
      <c r="A191" s="62"/>
      <c r="B191" s="62"/>
      <c r="C191" s="76"/>
      <c r="D191" s="77"/>
      <c r="E191" s="62"/>
      <c r="F191" s="83">
        <f t="shared" si="0"/>
        <v>188</v>
      </c>
      <c r="G191" s="84">
        <f t="shared" si="1"/>
        <v>8114.2199844205015</v>
      </c>
      <c r="H191" s="84">
        <f t="shared" si="2"/>
        <v>2488.2395209998035</v>
      </c>
      <c r="I191" s="84">
        <f t="shared" si="3"/>
        <v>5625.9804634206976</v>
      </c>
      <c r="J191" s="84">
        <f t="shared" si="4"/>
        <v>1164728.9896164848</v>
      </c>
      <c r="K191" s="80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ht="15.75" customHeight="1" x14ac:dyDescent="0.25">
      <c r="A192" s="62"/>
      <c r="B192" s="62"/>
      <c r="C192" s="76"/>
      <c r="D192" s="77"/>
      <c r="E192" s="62"/>
      <c r="F192" s="83">
        <f t="shared" si="0"/>
        <v>189</v>
      </c>
      <c r="G192" s="84">
        <f t="shared" si="1"/>
        <v>8114.2199844205015</v>
      </c>
      <c r="H192" s="84">
        <f t="shared" si="2"/>
        <v>2476.5187283676769</v>
      </c>
      <c r="I192" s="84">
        <f t="shared" si="3"/>
        <v>5637.7012560528246</v>
      </c>
      <c r="J192" s="84">
        <f t="shared" si="4"/>
        <v>1159091.288360432</v>
      </c>
      <c r="K192" s="80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ht="15.75" customHeight="1" x14ac:dyDescent="0.25">
      <c r="A193" s="62"/>
      <c r="B193" s="62"/>
      <c r="C193" s="76"/>
      <c r="D193" s="77"/>
      <c r="E193" s="62"/>
      <c r="F193" s="83">
        <f t="shared" si="0"/>
        <v>190</v>
      </c>
      <c r="G193" s="84">
        <f t="shared" si="1"/>
        <v>8114.2199844205015</v>
      </c>
      <c r="H193" s="84">
        <f t="shared" si="2"/>
        <v>2464.7735174175668</v>
      </c>
      <c r="I193" s="84">
        <f t="shared" si="3"/>
        <v>5649.4464670029347</v>
      </c>
      <c r="J193" s="84">
        <f t="shared" si="4"/>
        <v>1153441.8418934292</v>
      </c>
      <c r="K193" s="80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ht="15.75" customHeight="1" x14ac:dyDescent="0.25">
      <c r="A194" s="62"/>
      <c r="B194" s="62"/>
      <c r="C194" s="76"/>
      <c r="D194" s="77"/>
      <c r="E194" s="62"/>
      <c r="F194" s="83">
        <f t="shared" si="0"/>
        <v>191</v>
      </c>
      <c r="G194" s="84">
        <f t="shared" si="1"/>
        <v>8114.2199844205015</v>
      </c>
      <c r="H194" s="84">
        <f t="shared" si="2"/>
        <v>2453.0038372779777</v>
      </c>
      <c r="I194" s="84">
        <f t="shared" si="3"/>
        <v>5661.2161471425243</v>
      </c>
      <c r="J194" s="84">
        <f t="shared" si="4"/>
        <v>1147780.6257462867</v>
      </c>
      <c r="K194" s="80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ht="15.75" customHeight="1" x14ac:dyDescent="0.25">
      <c r="A195" s="62"/>
      <c r="B195" s="62"/>
      <c r="C195" s="76"/>
      <c r="D195" s="77"/>
      <c r="E195" s="62"/>
      <c r="F195" s="83">
        <f t="shared" si="0"/>
        <v>192</v>
      </c>
      <c r="G195" s="84">
        <f t="shared" si="1"/>
        <v>8114.2199844205015</v>
      </c>
      <c r="H195" s="84">
        <f t="shared" si="2"/>
        <v>2441.2096369714309</v>
      </c>
      <c r="I195" s="84">
        <f t="shared" si="3"/>
        <v>5673.0103474490707</v>
      </c>
      <c r="J195" s="84">
        <f t="shared" si="4"/>
        <v>1142107.6153988377</v>
      </c>
      <c r="K195" s="80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ht="15.75" customHeight="1" x14ac:dyDescent="0.25">
      <c r="A196" s="62"/>
      <c r="B196" s="62"/>
      <c r="C196" s="76"/>
      <c r="D196" s="77"/>
      <c r="E196" s="62"/>
      <c r="F196" s="83">
        <f t="shared" si="0"/>
        <v>193</v>
      </c>
      <c r="G196" s="84">
        <f t="shared" si="1"/>
        <v>8114.2199844205015</v>
      </c>
      <c r="H196" s="84">
        <f t="shared" si="2"/>
        <v>2429.3908654142456</v>
      </c>
      <c r="I196" s="84">
        <f t="shared" si="3"/>
        <v>5684.8291190062555</v>
      </c>
      <c r="J196" s="84">
        <f t="shared" si="4"/>
        <v>1136422.7862798315</v>
      </c>
      <c r="K196" s="80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ht="15.75" customHeight="1" x14ac:dyDescent="0.25">
      <c r="A197" s="62"/>
      <c r="B197" s="62"/>
      <c r="C197" s="76"/>
      <c r="D197" s="77"/>
      <c r="E197" s="62"/>
      <c r="F197" s="83">
        <f t="shared" si="0"/>
        <v>194</v>
      </c>
      <c r="G197" s="84">
        <f t="shared" si="1"/>
        <v>8114.2199844205015</v>
      </c>
      <c r="H197" s="84">
        <f t="shared" si="2"/>
        <v>2417.5474714163161</v>
      </c>
      <c r="I197" s="84">
        <f t="shared" si="3"/>
        <v>5696.672513004185</v>
      </c>
      <c r="J197" s="84">
        <f t="shared" si="4"/>
        <v>1130726.1137668274</v>
      </c>
      <c r="K197" s="80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ht="15.75" customHeight="1" x14ac:dyDescent="0.25">
      <c r="A198" s="62"/>
      <c r="B198" s="62"/>
      <c r="C198" s="76"/>
      <c r="D198" s="77"/>
      <c r="E198" s="62"/>
      <c r="F198" s="83">
        <f t="shared" si="0"/>
        <v>195</v>
      </c>
      <c r="G198" s="84">
        <f t="shared" si="1"/>
        <v>8114.2199844205015</v>
      </c>
      <c r="H198" s="84">
        <f t="shared" si="2"/>
        <v>2405.6794036808906</v>
      </c>
      <c r="I198" s="84">
        <f t="shared" si="3"/>
        <v>5708.540580739611</v>
      </c>
      <c r="J198" s="84">
        <f t="shared" si="4"/>
        <v>1125017.5731860879</v>
      </c>
      <c r="K198" s="80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ht="15.75" customHeight="1" x14ac:dyDescent="0.25">
      <c r="A199" s="62"/>
      <c r="B199" s="62"/>
      <c r="C199" s="76"/>
      <c r="D199" s="77"/>
      <c r="E199" s="62"/>
      <c r="F199" s="83">
        <f t="shared" si="0"/>
        <v>196</v>
      </c>
      <c r="G199" s="84">
        <f t="shared" si="1"/>
        <v>8114.2199844205015</v>
      </c>
      <c r="H199" s="84">
        <f t="shared" si="2"/>
        <v>2393.7866108043499</v>
      </c>
      <c r="I199" s="84">
        <f t="shared" si="3"/>
        <v>5720.4333736161516</v>
      </c>
      <c r="J199" s="84">
        <f t="shared" si="4"/>
        <v>1119297.1398124718</v>
      </c>
      <c r="K199" s="80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ht="15.75" customHeight="1" x14ac:dyDescent="0.25">
      <c r="A200" s="62"/>
      <c r="B200" s="62"/>
      <c r="C200" s="76"/>
      <c r="D200" s="77"/>
      <c r="E200" s="62"/>
      <c r="F200" s="83">
        <f t="shared" si="0"/>
        <v>197</v>
      </c>
      <c r="G200" s="84">
        <f t="shared" si="1"/>
        <v>8114.2199844205015</v>
      </c>
      <c r="H200" s="84">
        <f t="shared" si="2"/>
        <v>2381.8690412759829</v>
      </c>
      <c r="I200" s="84">
        <f t="shared" si="3"/>
        <v>5732.3509431445182</v>
      </c>
      <c r="J200" s="84">
        <f t="shared" si="4"/>
        <v>1113564.7888693274</v>
      </c>
      <c r="K200" s="80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ht="15.75" customHeight="1" x14ac:dyDescent="0.25">
      <c r="A201" s="62"/>
      <c r="B201" s="62"/>
      <c r="C201" s="76"/>
      <c r="D201" s="77"/>
      <c r="E201" s="62"/>
      <c r="F201" s="83">
        <f t="shared" si="0"/>
        <v>198</v>
      </c>
      <c r="G201" s="84">
        <f t="shared" si="1"/>
        <v>8114.2199844205015</v>
      </c>
      <c r="H201" s="84">
        <f t="shared" si="2"/>
        <v>2369.9266434777655</v>
      </c>
      <c r="I201" s="84">
        <f t="shared" si="3"/>
        <v>5744.293340942736</v>
      </c>
      <c r="J201" s="84">
        <f t="shared" si="4"/>
        <v>1107820.4955283846</v>
      </c>
      <c r="K201" s="80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ht="15.75" customHeight="1" x14ac:dyDescent="0.25">
      <c r="A202" s="62"/>
      <c r="B202" s="62"/>
      <c r="C202" s="76"/>
      <c r="D202" s="77"/>
      <c r="E202" s="62"/>
      <c r="F202" s="83">
        <f t="shared" si="0"/>
        <v>199</v>
      </c>
      <c r="G202" s="84">
        <f t="shared" si="1"/>
        <v>8114.2199844205015</v>
      </c>
      <c r="H202" s="84">
        <f t="shared" si="2"/>
        <v>2357.9593656841348</v>
      </c>
      <c r="I202" s="84">
        <f t="shared" si="3"/>
        <v>5756.2606187363672</v>
      </c>
      <c r="J202" s="84">
        <f t="shared" si="4"/>
        <v>1102064.2349096483</v>
      </c>
      <c r="K202" s="80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ht="15.75" customHeight="1" x14ac:dyDescent="0.25">
      <c r="A203" s="62"/>
      <c r="B203" s="62"/>
      <c r="C203" s="76"/>
      <c r="D203" s="77"/>
      <c r="E203" s="62"/>
      <c r="F203" s="83">
        <f t="shared" si="0"/>
        <v>200</v>
      </c>
      <c r="G203" s="84">
        <f t="shared" si="1"/>
        <v>8114.2199844205015</v>
      </c>
      <c r="H203" s="84">
        <f t="shared" si="2"/>
        <v>2345.9671560617676</v>
      </c>
      <c r="I203" s="84">
        <f t="shared" si="3"/>
        <v>5768.2528283587344</v>
      </c>
      <c r="J203" s="84">
        <f t="shared" si="4"/>
        <v>1096295.9820812896</v>
      </c>
      <c r="K203" s="80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ht="15.75" customHeight="1" x14ac:dyDescent="0.25">
      <c r="A204" s="62"/>
      <c r="B204" s="62"/>
      <c r="C204" s="76"/>
      <c r="D204" s="77"/>
      <c r="E204" s="62"/>
      <c r="F204" s="83">
        <f t="shared" si="0"/>
        <v>201</v>
      </c>
      <c r="G204" s="84">
        <f t="shared" si="1"/>
        <v>8114.2199844205015</v>
      </c>
      <c r="H204" s="84">
        <f t="shared" si="2"/>
        <v>2333.9499626693537</v>
      </c>
      <c r="I204" s="84">
        <f t="shared" si="3"/>
        <v>5780.2700217511483</v>
      </c>
      <c r="J204" s="84">
        <f t="shared" si="4"/>
        <v>1090515.7120595386</v>
      </c>
      <c r="K204" s="80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ht="15.75" customHeight="1" x14ac:dyDescent="0.25">
      <c r="A205" s="62"/>
      <c r="B205" s="62"/>
      <c r="C205" s="76"/>
      <c r="D205" s="77"/>
      <c r="E205" s="62"/>
      <c r="F205" s="83">
        <f t="shared" si="0"/>
        <v>202</v>
      </c>
      <c r="G205" s="84">
        <f t="shared" si="1"/>
        <v>8114.2199844205015</v>
      </c>
      <c r="H205" s="84">
        <f t="shared" si="2"/>
        <v>2321.9077334573722</v>
      </c>
      <c r="I205" s="84">
        <f t="shared" si="3"/>
        <v>5792.3122509631294</v>
      </c>
      <c r="J205" s="84">
        <f t="shared" si="4"/>
        <v>1084723.3998085754</v>
      </c>
      <c r="K205" s="80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ht="15.75" customHeight="1" x14ac:dyDescent="0.25">
      <c r="A206" s="62"/>
      <c r="B206" s="62"/>
      <c r="C206" s="76"/>
      <c r="D206" s="77"/>
      <c r="E206" s="62"/>
      <c r="F206" s="83">
        <f t="shared" si="0"/>
        <v>203</v>
      </c>
      <c r="G206" s="84">
        <f t="shared" si="1"/>
        <v>8114.2199844205015</v>
      </c>
      <c r="H206" s="84">
        <f t="shared" si="2"/>
        <v>2309.8404162678657</v>
      </c>
      <c r="I206" s="84">
        <f t="shared" si="3"/>
        <v>5804.3795681526353</v>
      </c>
      <c r="J206" s="84">
        <f t="shared" si="4"/>
        <v>1078919.0202404228</v>
      </c>
      <c r="K206" s="80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ht="15.75" customHeight="1" x14ac:dyDescent="0.25">
      <c r="A207" s="62"/>
      <c r="B207" s="62"/>
      <c r="C207" s="76"/>
      <c r="D207" s="77"/>
      <c r="E207" s="62"/>
      <c r="F207" s="83">
        <f t="shared" si="0"/>
        <v>204</v>
      </c>
      <c r="G207" s="84">
        <f t="shared" si="1"/>
        <v>8114.2199844205015</v>
      </c>
      <c r="H207" s="84">
        <f t="shared" si="2"/>
        <v>2297.7479588342144</v>
      </c>
      <c r="I207" s="84">
        <f t="shared" si="3"/>
        <v>5816.4720255862867</v>
      </c>
      <c r="J207" s="84">
        <f t="shared" si="4"/>
        <v>1073102.5482148365</v>
      </c>
      <c r="K207" s="80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ht="15.75" customHeight="1" x14ac:dyDescent="0.25">
      <c r="A208" s="62"/>
      <c r="B208" s="62"/>
      <c r="C208" s="76"/>
      <c r="D208" s="77"/>
      <c r="E208" s="62"/>
      <c r="F208" s="83">
        <f t="shared" si="0"/>
        <v>205</v>
      </c>
      <c r="G208" s="84">
        <f t="shared" si="1"/>
        <v>8114.2199844205015</v>
      </c>
      <c r="H208" s="84">
        <f t="shared" si="2"/>
        <v>2285.6303087809097</v>
      </c>
      <c r="I208" s="84">
        <f t="shared" si="3"/>
        <v>5828.5896756395923</v>
      </c>
      <c r="J208" s="84">
        <f t="shared" si="4"/>
        <v>1067273.958539197</v>
      </c>
      <c r="K208" s="80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ht="15.75" customHeight="1" x14ac:dyDescent="0.25">
      <c r="A209" s="62"/>
      <c r="B209" s="62"/>
      <c r="C209" s="76"/>
      <c r="D209" s="77"/>
      <c r="E209" s="62"/>
      <c r="F209" s="83">
        <f t="shared" si="0"/>
        <v>206</v>
      </c>
      <c r="G209" s="84">
        <f t="shared" si="1"/>
        <v>8114.2199844205015</v>
      </c>
      <c r="H209" s="84">
        <f t="shared" si="2"/>
        <v>2273.487413623327</v>
      </c>
      <c r="I209" s="84">
        <f t="shared" si="3"/>
        <v>5840.732570797174</v>
      </c>
      <c r="J209" s="84">
        <f t="shared" si="4"/>
        <v>1061433.2259683998</v>
      </c>
      <c r="K209" s="80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ht="15.75" customHeight="1" x14ac:dyDescent="0.25">
      <c r="A210" s="62"/>
      <c r="B210" s="62"/>
      <c r="C210" s="76"/>
      <c r="D210" s="77"/>
      <c r="E210" s="62"/>
      <c r="F210" s="83">
        <f t="shared" si="0"/>
        <v>207</v>
      </c>
      <c r="G210" s="84">
        <f t="shared" si="1"/>
        <v>8114.2199844205015</v>
      </c>
      <c r="H210" s="84">
        <f t="shared" si="2"/>
        <v>2261.3192207674997</v>
      </c>
      <c r="I210" s="84">
        <f t="shared" si="3"/>
        <v>5852.9007636530023</v>
      </c>
      <c r="J210" s="84">
        <f t="shared" si="4"/>
        <v>1055580.3252047468</v>
      </c>
      <c r="K210" s="80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ht="15.75" customHeight="1" x14ac:dyDescent="0.25">
      <c r="A211" s="62"/>
      <c r="B211" s="62"/>
      <c r="C211" s="76"/>
      <c r="D211" s="77"/>
      <c r="E211" s="62"/>
      <c r="F211" s="83">
        <f t="shared" si="0"/>
        <v>208</v>
      </c>
      <c r="G211" s="84">
        <f t="shared" si="1"/>
        <v>8114.2199844205015</v>
      </c>
      <c r="H211" s="84">
        <f t="shared" si="2"/>
        <v>2249.1256775098896</v>
      </c>
      <c r="I211" s="84">
        <f t="shared" si="3"/>
        <v>5865.0943069106124</v>
      </c>
      <c r="J211" s="84">
        <f t="shared" si="4"/>
        <v>1049715.2308978362</v>
      </c>
      <c r="K211" s="80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ht="15.75" customHeight="1" x14ac:dyDescent="0.25">
      <c r="A212" s="62"/>
      <c r="B212" s="62"/>
      <c r="C212" s="76"/>
      <c r="D212" s="77"/>
      <c r="E212" s="62"/>
      <c r="F212" s="83">
        <f t="shared" si="0"/>
        <v>209</v>
      </c>
      <c r="G212" s="84">
        <f t="shared" si="1"/>
        <v>8114.2199844205015</v>
      </c>
      <c r="H212" s="84">
        <f t="shared" si="2"/>
        <v>2236.9067310371588</v>
      </c>
      <c r="I212" s="84">
        <f t="shared" si="3"/>
        <v>5877.3132533833432</v>
      </c>
      <c r="J212" s="84">
        <f t="shared" si="4"/>
        <v>1043837.9176444528</v>
      </c>
      <c r="K212" s="80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ht="15.75" customHeight="1" x14ac:dyDescent="0.25">
      <c r="A213" s="62"/>
      <c r="B213" s="62"/>
      <c r="C213" s="76"/>
      <c r="D213" s="77"/>
      <c r="E213" s="62"/>
      <c r="F213" s="83">
        <f t="shared" si="0"/>
        <v>210</v>
      </c>
      <c r="G213" s="84">
        <f t="shared" si="1"/>
        <v>8114.2199844205015</v>
      </c>
      <c r="H213" s="84">
        <f t="shared" si="2"/>
        <v>2224.6623284259435</v>
      </c>
      <c r="I213" s="84">
        <f t="shared" si="3"/>
        <v>5889.5576559945584</v>
      </c>
      <c r="J213" s="84">
        <f t="shared" si="4"/>
        <v>1037948.3599884582</v>
      </c>
      <c r="K213" s="80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ht="15.75" customHeight="1" x14ac:dyDescent="0.25">
      <c r="A214" s="62"/>
      <c r="B214" s="62"/>
      <c r="C214" s="76"/>
      <c r="D214" s="77"/>
      <c r="E214" s="62"/>
      <c r="F214" s="83">
        <f t="shared" si="0"/>
        <v>211</v>
      </c>
      <c r="G214" s="84">
        <f t="shared" si="1"/>
        <v>8114.2199844205015</v>
      </c>
      <c r="H214" s="84">
        <f t="shared" si="2"/>
        <v>2212.3924166426214</v>
      </c>
      <c r="I214" s="84">
        <f t="shared" si="3"/>
        <v>5901.8275677778802</v>
      </c>
      <c r="J214" s="84">
        <f t="shared" si="4"/>
        <v>1032046.5324206804</v>
      </c>
      <c r="K214" s="80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ht="15.75" customHeight="1" x14ac:dyDescent="0.25">
      <c r="A215" s="62"/>
      <c r="B215" s="62"/>
      <c r="C215" s="76"/>
      <c r="D215" s="77"/>
      <c r="E215" s="62"/>
      <c r="F215" s="83">
        <f t="shared" si="0"/>
        <v>212</v>
      </c>
      <c r="G215" s="84">
        <f t="shared" si="1"/>
        <v>8114.2199844205015</v>
      </c>
      <c r="H215" s="84">
        <f t="shared" si="2"/>
        <v>2200.0969425430844</v>
      </c>
      <c r="I215" s="84">
        <f t="shared" si="3"/>
        <v>5914.1230418774176</v>
      </c>
      <c r="J215" s="84">
        <f t="shared" si="4"/>
        <v>1026132.409378803</v>
      </c>
      <c r="K215" s="80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ht="15.75" customHeight="1" x14ac:dyDescent="0.25">
      <c r="A216" s="62"/>
      <c r="B216" s="62"/>
      <c r="C216" s="76"/>
      <c r="D216" s="77"/>
      <c r="E216" s="62"/>
      <c r="F216" s="83">
        <f t="shared" si="0"/>
        <v>213</v>
      </c>
      <c r="G216" s="84">
        <f t="shared" si="1"/>
        <v>8114.2199844205015</v>
      </c>
      <c r="H216" s="84">
        <f t="shared" si="2"/>
        <v>2187.7758528725062</v>
      </c>
      <c r="I216" s="84">
        <f t="shared" si="3"/>
        <v>5926.4441315479953</v>
      </c>
      <c r="J216" s="84">
        <f t="shared" si="4"/>
        <v>1020205.9652472549</v>
      </c>
      <c r="K216" s="80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ht="15.75" customHeight="1" x14ac:dyDescent="0.25">
      <c r="A217" s="62"/>
      <c r="B217" s="62"/>
      <c r="C217" s="76"/>
      <c r="D217" s="77"/>
      <c r="E217" s="62"/>
      <c r="F217" s="83">
        <f t="shared" si="0"/>
        <v>214</v>
      </c>
      <c r="G217" s="84">
        <f t="shared" si="1"/>
        <v>8114.2199844205015</v>
      </c>
      <c r="H217" s="84">
        <f t="shared" si="2"/>
        <v>2175.4290942651146</v>
      </c>
      <c r="I217" s="84">
        <f t="shared" si="3"/>
        <v>5938.7908901553874</v>
      </c>
      <c r="J217" s="84">
        <f t="shared" si="4"/>
        <v>1014267.1743570996</v>
      </c>
      <c r="K217" s="80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ht="15.75" customHeight="1" x14ac:dyDescent="0.25">
      <c r="A218" s="62"/>
      <c r="B218" s="62"/>
      <c r="C218" s="76"/>
      <c r="D218" s="77"/>
      <c r="E218" s="62"/>
      <c r="F218" s="83">
        <f t="shared" si="0"/>
        <v>215</v>
      </c>
      <c r="G218" s="84">
        <f t="shared" si="1"/>
        <v>8114.2199844205015</v>
      </c>
      <c r="H218" s="84">
        <f t="shared" si="2"/>
        <v>2163.0566132439576</v>
      </c>
      <c r="I218" s="84">
        <f t="shared" si="3"/>
        <v>5951.1633711765444</v>
      </c>
      <c r="J218" s="84">
        <f t="shared" si="4"/>
        <v>1008316.010985923</v>
      </c>
      <c r="K218" s="80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ht="15.75" customHeight="1" x14ac:dyDescent="0.25">
      <c r="A219" s="62"/>
      <c r="B219" s="62"/>
      <c r="C219" s="76"/>
      <c r="D219" s="77"/>
      <c r="E219" s="62"/>
      <c r="F219" s="83">
        <f t="shared" si="0"/>
        <v>216</v>
      </c>
      <c r="G219" s="84">
        <f t="shared" si="1"/>
        <v>8114.2199844205015</v>
      </c>
      <c r="H219" s="84">
        <f t="shared" si="2"/>
        <v>2150.6583562206729</v>
      </c>
      <c r="I219" s="84">
        <f t="shared" si="3"/>
        <v>5963.5616281998282</v>
      </c>
      <c r="J219" s="84">
        <f t="shared" si="4"/>
        <v>1002352.4493577231</v>
      </c>
      <c r="K219" s="80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ht="15.75" customHeight="1" x14ac:dyDescent="0.25">
      <c r="A220" s="62"/>
      <c r="B220" s="62"/>
      <c r="C220" s="76"/>
      <c r="D220" s="77"/>
      <c r="E220" s="62"/>
      <c r="F220" s="83">
        <f t="shared" si="0"/>
        <v>217</v>
      </c>
      <c r="G220" s="84">
        <f t="shared" si="1"/>
        <v>8114.2199844205015</v>
      </c>
      <c r="H220" s="84">
        <f t="shared" si="2"/>
        <v>2138.2342694952567</v>
      </c>
      <c r="I220" s="84">
        <f t="shared" si="3"/>
        <v>5975.9857149252448</v>
      </c>
      <c r="J220" s="84">
        <f t="shared" si="4"/>
        <v>996376.4636427979</v>
      </c>
      <c r="K220" s="80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ht="15.75" customHeight="1" x14ac:dyDescent="0.25">
      <c r="A221" s="62"/>
      <c r="B221" s="62"/>
      <c r="C221" s="76"/>
      <c r="D221" s="77"/>
      <c r="E221" s="62"/>
      <c r="F221" s="83">
        <f t="shared" si="0"/>
        <v>218</v>
      </c>
      <c r="G221" s="84">
        <f t="shared" si="1"/>
        <v>8114.2199844205015</v>
      </c>
      <c r="H221" s="84">
        <f t="shared" si="2"/>
        <v>2125.784299255829</v>
      </c>
      <c r="I221" s="84">
        <f t="shared" si="3"/>
        <v>5988.4356851646726</v>
      </c>
      <c r="J221" s="84">
        <f t="shared" si="4"/>
        <v>990388.02795763325</v>
      </c>
      <c r="K221" s="80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ht="15.75" customHeight="1" x14ac:dyDescent="0.25">
      <c r="A222" s="62"/>
      <c r="B222" s="62"/>
      <c r="C222" s="76"/>
      <c r="D222" s="77"/>
      <c r="E222" s="62"/>
      <c r="F222" s="83">
        <f t="shared" si="0"/>
        <v>219</v>
      </c>
      <c r="G222" s="84">
        <f t="shared" si="1"/>
        <v>8114.2199844205015</v>
      </c>
      <c r="H222" s="84">
        <f t="shared" si="2"/>
        <v>2113.3083915784027</v>
      </c>
      <c r="I222" s="84">
        <f t="shared" si="3"/>
        <v>6000.9115928420988</v>
      </c>
      <c r="J222" s="84">
        <f t="shared" si="4"/>
        <v>984387.11636479117</v>
      </c>
      <c r="K222" s="80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ht="15.75" customHeight="1" x14ac:dyDescent="0.25">
      <c r="A223" s="62"/>
      <c r="B223" s="62"/>
      <c r="C223" s="76"/>
      <c r="D223" s="77"/>
      <c r="E223" s="62"/>
      <c r="F223" s="83">
        <f t="shared" si="0"/>
        <v>220</v>
      </c>
      <c r="G223" s="84">
        <f t="shared" si="1"/>
        <v>8114.2199844205015</v>
      </c>
      <c r="H223" s="84">
        <f t="shared" si="2"/>
        <v>2100.8064924266487</v>
      </c>
      <c r="I223" s="84">
        <f t="shared" si="3"/>
        <v>6013.4134919938533</v>
      </c>
      <c r="J223" s="84">
        <f t="shared" si="4"/>
        <v>978373.70287279726</v>
      </c>
      <c r="K223" s="80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ht="15.75" customHeight="1" x14ac:dyDescent="0.25">
      <c r="A224" s="62"/>
      <c r="B224" s="62"/>
      <c r="C224" s="76"/>
      <c r="D224" s="77"/>
      <c r="E224" s="62"/>
      <c r="F224" s="83">
        <f t="shared" si="0"/>
        <v>221</v>
      </c>
      <c r="G224" s="84">
        <f t="shared" si="1"/>
        <v>8114.2199844205015</v>
      </c>
      <c r="H224" s="84">
        <f t="shared" si="2"/>
        <v>2088.278547651661</v>
      </c>
      <c r="I224" s="84">
        <f t="shared" si="3"/>
        <v>6025.9414367688405</v>
      </c>
      <c r="J224" s="84">
        <f t="shared" si="4"/>
        <v>972347.76143602841</v>
      </c>
      <c r="K224" s="80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ht="15.75" customHeight="1" x14ac:dyDescent="0.25">
      <c r="A225" s="62"/>
      <c r="B225" s="62"/>
      <c r="C225" s="76"/>
      <c r="D225" s="77"/>
      <c r="E225" s="62"/>
      <c r="F225" s="83">
        <f t="shared" si="0"/>
        <v>222</v>
      </c>
      <c r="G225" s="84">
        <f t="shared" si="1"/>
        <v>8114.2199844205015</v>
      </c>
      <c r="H225" s="84">
        <f t="shared" si="2"/>
        <v>2075.7245029917258</v>
      </c>
      <c r="I225" s="84">
        <f t="shared" si="3"/>
        <v>6038.4954814287757</v>
      </c>
      <c r="J225" s="84">
        <f t="shared" si="4"/>
        <v>966309.2659545996</v>
      </c>
      <c r="K225" s="80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ht="15.75" customHeight="1" x14ac:dyDescent="0.25">
      <c r="A226" s="62"/>
      <c r="B226" s="62"/>
      <c r="C226" s="76"/>
      <c r="D226" s="77"/>
      <c r="E226" s="62"/>
      <c r="F226" s="83">
        <f t="shared" si="0"/>
        <v>223</v>
      </c>
      <c r="G226" s="84">
        <f t="shared" si="1"/>
        <v>8114.2199844205015</v>
      </c>
      <c r="H226" s="84">
        <f t="shared" si="2"/>
        <v>2063.1443040720824</v>
      </c>
      <c r="I226" s="84">
        <f t="shared" si="3"/>
        <v>6051.0756803484192</v>
      </c>
      <c r="J226" s="84">
        <f t="shared" si="4"/>
        <v>960258.19027425116</v>
      </c>
      <c r="K226" s="80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ht="15.75" customHeight="1" x14ac:dyDescent="0.25">
      <c r="A227" s="62"/>
      <c r="B227" s="62"/>
      <c r="C227" s="76"/>
      <c r="D227" s="77"/>
      <c r="E227" s="62"/>
      <c r="F227" s="83">
        <f t="shared" si="0"/>
        <v>224</v>
      </c>
      <c r="G227" s="84">
        <f t="shared" si="1"/>
        <v>8114.2199844205015</v>
      </c>
      <c r="H227" s="84">
        <f t="shared" si="2"/>
        <v>2050.5378964046904</v>
      </c>
      <c r="I227" s="84">
        <f t="shared" si="3"/>
        <v>6063.6820880158111</v>
      </c>
      <c r="J227" s="84">
        <f t="shared" si="4"/>
        <v>954194.50818623533</v>
      </c>
      <c r="K227" s="80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ht="15.75" customHeight="1" x14ac:dyDescent="0.25">
      <c r="A228" s="62"/>
      <c r="B228" s="62"/>
      <c r="C228" s="76"/>
      <c r="D228" s="77"/>
      <c r="E228" s="62"/>
      <c r="F228" s="83">
        <f t="shared" si="0"/>
        <v>225</v>
      </c>
      <c r="G228" s="84">
        <f t="shared" si="1"/>
        <v>8114.2199844205015</v>
      </c>
      <c r="H228" s="84">
        <f t="shared" si="2"/>
        <v>2037.9052253879902</v>
      </c>
      <c r="I228" s="84">
        <f t="shared" si="3"/>
        <v>6076.3147590325116</v>
      </c>
      <c r="J228" s="84">
        <f t="shared" si="4"/>
        <v>948118.19342720276</v>
      </c>
      <c r="K228" s="80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ht="15.75" customHeight="1" x14ac:dyDescent="0.25">
      <c r="A229" s="62"/>
      <c r="B229" s="62"/>
      <c r="C229" s="76"/>
      <c r="D229" s="77"/>
      <c r="E229" s="62"/>
      <c r="F229" s="83">
        <f t="shared" si="0"/>
        <v>226</v>
      </c>
      <c r="G229" s="84">
        <f t="shared" si="1"/>
        <v>8114.2199844205015</v>
      </c>
      <c r="H229" s="84">
        <f t="shared" si="2"/>
        <v>2025.2462363066725</v>
      </c>
      <c r="I229" s="84">
        <f t="shared" si="3"/>
        <v>6088.9737481138291</v>
      </c>
      <c r="J229" s="84">
        <f t="shared" si="4"/>
        <v>942029.21967908891</v>
      </c>
      <c r="K229" s="80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ht="15.75" customHeight="1" x14ac:dyDescent="0.25">
      <c r="A230" s="62"/>
      <c r="B230" s="62"/>
      <c r="C230" s="76"/>
      <c r="D230" s="77"/>
      <c r="E230" s="62"/>
      <c r="F230" s="83">
        <f t="shared" si="0"/>
        <v>227</v>
      </c>
      <c r="G230" s="84">
        <f t="shared" si="1"/>
        <v>8114.2199844205015</v>
      </c>
      <c r="H230" s="84">
        <f t="shared" si="2"/>
        <v>2012.5608743314353</v>
      </c>
      <c r="I230" s="84">
        <f t="shared" si="3"/>
        <v>6101.6591100890664</v>
      </c>
      <c r="J230" s="84">
        <f t="shared" si="4"/>
        <v>935927.56056899985</v>
      </c>
      <c r="K230" s="80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ht="15.75" customHeight="1" x14ac:dyDescent="0.25">
      <c r="A231" s="62"/>
      <c r="B231" s="62"/>
      <c r="C231" s="76"/>
      <c r="D231" s="77"/>
      <c r="E231" s="62"/>
      <c r="F231" s="83">
        <f t="shared" si="0"/>
        <v>228</v>
      </c>
      <c r="G231" s="84">
        <f t="shared" si="1"/>
        <v>8114.2199844205015</v>
      </c>
      <c r="H231" s="84">
        <f t="shared" si="2"/>
        <v>1999.8490845187498</v>
      </c>
      <c r="I231" s="84">
        <f t="shared" si="3"/>
        <v>6114.3708999017517</v>
      </c>
      <c r="J231" s="84">
        <f t="shared" si="4"/>
        <v>929813.18966909812</v>
      </c>
      <c r="K231" s="80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ht="15.75" customHeight="1" x14ac:dyDescent="0.25">
      <c r="A232" s="62"/>
      <c r="B232" s="62"/>
      <c r="C232" s="76"/>
      <c r="D232" s="77"/>
      <c r="E232" s="62"/>
      <c r="F232" s="83">
        <f t="shared" si="0"/>
        <v>229</v>
      </c>
      <c r="G232" s="84">
        <f t="shared" si="1"/>
        <v>8114.2199844205015</v>
      </c>
      <c r="H232" s="84">
        <f t="shared" si="2"/>
        <v>1987.1108118106213</v>
      </c>
      <c r="I232" s="84">
        <f t="shared" si="3"/>
        <v>6127.1091726098803</v>
      </c>
      <c r="J232" s="84">
        <f t="shared" si="4"/>
        <v>923686.08049648826</v>
      </c>
      <c r="K232" s="80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ht="15.75" customHeight="1" x14ac:dyDescent="0.25">
      <c r="A233" s="62"/>
      <c r="B233" s="62"/>
      <c r="C233" s="76"/>
      <c r="D233" s="77"/>
      <c r="E233" s="62"/>
      <c r="F233" s="83">
        <f t="shared" si="0"/>
        <v>230</v>
      </c>
      <c r="G233" s="84">
        <f t="shared" si="1"/>
        <v>8114.2199844205015</v>
      </c>
      <c r="H233" s="84">
        <f t="shared" si="2"/>
        <v>1974.3460010343506</v>
      </c>
      <c r="I233" s="84">
        <f t="shared" si="3"/>
        <v>6139.8739833861509</v>
      </c>
      <c r="J233" s="84">
        <f t="shared" si="4"/>
        <v>917546.20651310205</v>
      </c>
      <c r="K233" s="80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ht="15.75" customHeight="1" x14ac:dyDescent="0.25">
      <c r="A234" s="62"/>
      <c r="B234" s="62"/>
      <c r="C234" s="76"/>
      <c r="D234" s="77"/>
      <c r="E234" s="62"/>
      <c r="F234" s="83">
        <f t="shared" si="0"/>
        <v>231</v>
      </c>
      <c r="G234" s="84">
        <f t="shared" si="1"/>
        <v>8114.2199844205015</v>
      </c>
      <c r="H234" s="84">
        <f t="shared" si="2"/>
        <v>1961.554596902296</v>
      </c>
      <c r="I234" s="84">
        <f t="shared" si="3"/>
        <v>6152.6653875182055</v>
      </c>
      <c r="J234" s="84">
        <f t="shared" si="4"/>
        <v>911393.54112558381</v>
      </c>
      <c r="K234" s="80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ht="15.75" customHeight="1" x14ac:dyDescent="0.25">
      <c r="A235" s="62"/>
      <c r="B235" s="62"/>
      <c r="C235" s="76"/>
      <c r="D235" s="77"/>
      <c r="E235" s="62"/>
      <c r="F235" s="83">
        <f t="shared" si="0"/>
        <v>232</v>
      </c>
      <c r="G235" s="84">
        <f t="shared" si="1"/>
        <v>8114.2199844205015</v>
      </c>
      <c r="H235" s="84">
        <f t="shared" si="2"/>
        <v>1948.736544011633</v>
      </c>
      <c r="I235" s="84">
        <f t="shared" si="3"/>
        <v>6165.4834404088688</v>
      </c>
      <c r="J235" s="84">
        <f t="shared" si="4"/>
        <v>905228.05768517498</v>
      </c>
      <c r="K235" s="80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ht="15.75" customHeight="1" x14ac:dyDescent="0.25">
      <c r="A236" s="62"/>
      <c r="B236" s="62"/>
      <c r="C236" s="76"/>
      <c r="D236" s="77"/>
      <c r="E236" s="62"/>
      <c r="F236" s="83">
        <f t="shared" si="0"/>
        <v>233</v>
      </c>
      <c r="G236" s="84">
        <f t="shared" si="1"/>
        <v>8114.2199844205015</v>
      </c>
      <c r="H236" s="84">
        <f t="shared" si="2"/>
        <v>1935.8917868441147</v>
      </c>
      <c r="I236" s="84">
        <f t="shared" si="3"/>
        <v>6178.3281975763866</v>
      </c>
      <c r="J236" s="84">
        <f t="shared" si="4"/>
        <v>899049.72948759864</v>
      </c>
      <c r="K236" s="80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ht="15.75" customHeight="1" x14ac:dyDescent="0.25">
      <c r="A237" s="62"/>
      <c r="B237" s="62"/>
      <c r="C237" s="76"/>
      <c r="D237" s="77"/>
      <c r="E237" s="62"/>
      <c r="F237" s="83">
        <f t="shared" si="0"/>
        <v>234</v>
      </c>
      <c r="G237" s="84">
        <f t="shared" si="1"/>
        <v>8114.2199844205015</v>
      </c>
      <c r="H237" s="84">
        <f t="shared" si="2"/>
        <v>1923.0202697658306</v>
      </c>
      <c r="I237" s="84">
        <f t="shared" si="3"/>
        <v>6191.199714654671</v>
      </c>
      <c r="J237" s="84">
        <f t="shared" si="4"/>
        <v>892858.52977294393</v>
      </c>
      <c r="K237" s="80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ht="15.75" customHeight="1" x14ac:dyDescent="0.25">
      <c r="A238" s="62"/>
      <c r="B238" s="62"/>
      <c r="C238" s="76"/>
      <c r="D238" s="77"/>
      <c r="E238" s="62"/>
      <c r="F238" s="83">
        <f t="shared" si="0"/>
        <v>235</v>
      </c>
      <c r="G238" s="84">
        <f t="shared" si="1"/>
        <v>8114.2199844205015</v>
      </c>
      <c r="H238" s="84">
        <f t="shared" si="2"/>
        <v>1910.1219370269666</v>
      </c>
      <c r="I238" s="84">
        <f t="shared" si="3"/>
        <v>6204.0980473935351</v>
      </c>
      <c r="J238" s="84">
        <f t="shared" si="4"/>
        <v>886654.43172555044</v>
      </c>
      <c r="K238" s="80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ht="15.75" customHeight="1" x14ac:dyDescent="0.25">
      <c r="A239" s="62"/>
      <c r="B239" s="62"/>
      <c r="C239" s="76"/>
      <c r="D239" s="77"/>
      <c r="E239" s="62"/>
      <c r="F239" s="83">
        <f t="shared" si="0"/>
        <v>236</v>
      </c>
      <c r="G239" s="84">
        <f t="shared" si="1"/>
        <v>8114.2199844205015</v>
      </c>
      <c r="H239" s="84">
        <f t="shared" si="2"/>
        <v>1897.1967327615637</v>
      </c>
      <c r="I239" s="84">
        <f t="shared" si="3"/>
        <v>6217.0232516589376</v>
      </c>
      <c r="J239" s="84">
        <f t="shared" si="4"/>
        <v>880437.40847389156</v>
      </c>
      <c r="K239" s="80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ht="15.75" customHeight="1" x14ac:dyDescent="0.25">
      <c r="A240" s="62"/>
      <c r="B240" s="62"/>
      <c r="C240" s="76"/>
      <c r="D240" s="77"/>
      <c r="E240" s="62"/>
      <c r="F240" s="83">
        <f t="shared" si="0"/>
        <v>237</v>
      </c>
      <c r="G240" s="84">
        <f t="shared" si="1"/>
        <v>8114.2199844205015</v>
      </c>
      <c r="H240" s="84">
        <f t="shared" si="2"/>
        <v>1884.244600987274</v>
      </c>
      <c r="I240" s="84">
        <f t="shared" si="3"/>
        <v>6229.9753834332278</v>
      </c>
      <c r="J240" s="84">
        <f t="shared" si="4"/>
        <v>874207.43309045827</v>
      </c>
      <c r="K240" s="80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ht="15.75" customHeight="1" x14ac:dyDescent="0.25">
      <c r="A241" s="62"/>
      <c r="B241" s="62"/>
      <c r="C241" s="76"/>
      <c r="D241" s="77"/>
      <c r="E241" s="62"/>
      <c r="F241" s="83">
        <f t="shared" si="0"/>
        <v>238</v>
      </c>
      <c r="G241" s="84">
        <f t="shared" si="1"/>
        <v>8114.2199844205015</v>
      </c>
      <c r="H241" s="84">
        <f t="shared" si="2"/>
        <v>1871.2654856051215</v>
      </c>
      <c r="I241" s="84">
        <f t="shared" si="3"/>
        <v>6242.9544988153802</v>
      </c>
      <c r="J241" s="84">
        <f t="shared" si="4"/>
        <v>867964.47859164292</v>
      </c>
      <c r="K241" s="80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ht="15.75" customHeight="1" x14ac:dyDescent="0.25">
      <c r="A242" s="62"/>
      <c r="B242" s="62"/>
      <c r="C242" s="76"/>
      <c r="D242" s="77"/>
      <c r="E242" s="62"/>
      <c r="F242" s="83">
        <f t="shared" si="0"/>
        <v>239</v>
      </c>
      <c r="G242" s="84">
        <f t="shared" si="1"/>
        <v>8114.2199844205015</v>
      </c>
      <c r="H242" s="84">
        <f t="shared" si="2"/>
        <v>1858.2593303992562</v>
      </c>
      <c r="I242" s="84">
        <f t="shared" si="3"/>
        <v>6255.9606540212453</v>
      </c>
      <c r="J242" s="84">
        <f t="shared" si="4"/>
        <v>861708.51793762168</v>
      </c>
      <c r="K242" s="80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ht="15.75" customHeight="1" x14ac:dyDescent="0.25">
      <c r="A243" s="62"/>
      <c r="B243" s="62"/>
      <c r="C243" s="76"/>
      <c r="D243" s="77"/>
      <c r="E243" s="62"/>
      <c r="F243" s="83">
        <f t="shared" si="0"/>
        <v>240</v>
      </c>
      <c r="G243" s="84">
        <f t="shared" si="1"/>
        <v>8114.2199844205015</v>
      </c>
      <c r="H243" s="84">
        <f t="shared" si="2"/>
        <v>1845.226079036712</v>
      </c>
      <c r="I243" s="84">
        <f t="shared" si="3"/>
        <v>6268.9939053837898</v>
      </c>
      <c r="J243" s="84">
        <f t="shared" si="4"/>
        <v>855439.52403223794</v>
      </c>
      <c r="K243" s="80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ht="15.75" customHeight="1" x14ac:dyDescent="0.25">
      <c r="A244" s="62"/>
      <c r="B244" s="62"/>
      <c r="C244" s="76"/>
      <c r="D244" s="77"/>
      <c r="E244" s="62"/>
      <c r="F244" s="83">
        <f t="shared" si="0"/>
        <v>241</v>
      </c>
      <c r="G244" s="84">
        <f t="shared" si="1"/>
        <v>8114.2199844205015</v>
      </c>
      <c r="H244" s="84">
        <f t="shared" si="2"/>
        <v>1832.1656750671625</v>
      </c>
      <c r="I244" s="84">
        <f t="shared" si="3"/>
        <v>6282.0543093533388</v>
      </c>
      <c r="J244" s="84">
        <f t="shared" si="4"/>
        <v>849157.46972288459</v>
      </c>
      <c r="K244" s="80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ht="15.75" customHeight="1" x14ac:dyDescent="0.25">
      <c r="A245" s="62"/>
      <c r="B245" s="62"/>
      <c r="C245" s="76"/>
      <c r="D245" s="77"/>
      <c r="E245" s="62"/>
      <c r="F245" s="83">
        <f t="shared" si="0"/>
        <v>242</v>
      </c>
      <c r="G245" s="84">
        <f t="shared" si="1"/>
        <v>8114.2199844205015</v>
      </c>
      <c r="H245" s="84">
        <f t="shared" si="2"/>
        <v>1819.0780619226764</v>
      </c>
      <c r="I245" s="84">
        <f t="shared" si="3"/>
        <v>6295.1419224978254</v>
      </c>
      <c r="J245" s="84">
        <f t="shared" si="4"/>
        <v>842862.32780038682</v>
      </c>
      <c r="K245" s="80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ht="15.75" customHeight="1" x14ac:dyDescent="0.25">
      <c r="A246" s="62"/>
      <c r="B246" s="62"/>
      <c r="C246" s="76"/>
      <c r="D246" s="77"/>
      <c r="E246" s="62"/>
      <c r="F246" s="83">
        <f t="shared" si="0"/>
        <v>243</v>
      </c>
      <c r="G246" s="84">
        <f t="shared" si="1"/>
        <v>8114.2199844205015</v>
      </c>
      <c r="H246" s="84">
        <f t="shared" si="2"/>
        <v>1805.9631829174725</v>
      </c>
      <c r="I246" s="84">
        <f t="shared" si="3"/>
        <v>6308.2568015030292</v>
      </c>
      <c r="J246" s="84">
        <f t="shared" si="4"/>
        <v>836554.07099888381</v>
      </c>
      <c r="K246" s="80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ht="15.75" customHeight="1" x14ac:dyDescent="0.25">
      <c r="A247" s="62"/>
      <c r="B247" s="62"/>
      <c r="C247" s="76"/>
      <c r="D247" s="77"/>
      <c r="E247" s="62"/>
      <c r="F247" s="83">
        <f t="shared" si="0"/>
        <v>244</v>
      </c>
      <c r="G247" s="84">
        <f t="shared" si="1"/>
        <v>8114.2199844205015</v>
      </c>
      <c r="H247" s="84">
        <f t="shared" si="2"/>
        <v>1792.8209812476746</v>
      </c>
      <c r="I247" s="84">
        <f t="shared" si="3"/>
        <v>6321.3990031728272</v>
      </c>
      <c r="J247" s="84">
        <f t="shared" si="4"/>
        <v>830232.67199571093</v>
      </c>
      <c r="K247" s="80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15.75" customHeight="1" x14ac:dyDescent="0.25">
      <c r="A248" s="62"/>
      <c r="B248" s="62"/>
      <c r="C248" s="76"/>
      <c r="D248" s="77"/>
      <c r="E248" s="62"/>
      <c r="F248" s="83">
        <f t="shared" si="0"/>
        <v>245</v>
      </c>
      <c r="G248" s="84">
        <f t="shared" si="1"/>
        <v>8114.2199844205015</v>
      </c>
      <c r="H248" s="84">
        <f t="shared" si="2"/>
        <v>1779.6513999910646</v>
      </c>
      <c r="I248" s="84">
        <f t="shared" si="3"/>
        <v>6334.5685844294367</v>
      </c>
      <c r="J248" s="84">
        <f t="shared" si="4"/>
        <v>823898.10341128148</v>
      </c>
      <c r="K248" s="80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15.75" customHeight="1" x14ac:dyDescent="0.25">
      <c r="A249" s="62"/>
      <c r="B249" s="62"/>
      <c r="C249" s="76"/>
      <c r="D249" s="77"/>
      <c r="E249" s="62"/>
      <c r="F249" s="83">
        <f t="shared" si="0"/>
        <v>246</v>
      </c>
      <c r="G249" s="84">
        <f t="shared" si="1"/>
        <v>8114.2199844205015</v>
      </c>
      <c r="H249" s="84">
        <f t="shared" si="2"/>
        <v>1766.4543821068364</v>
      </c>
      <c r="I249" s="84">
        <f t="shared" si="3"/>
        <v>6347.7656023136651</v>
      </c>
      <c r="J249" s="84">
        <f t="shared" si="4"/>
        <v>817550.3378089678</v>
      </c>
      <c r="K249" s="80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15.75" customHeight="1" x14ac:dyDescent="0.25">
      <c r="A250" s="62"/>
      <c r="B250" s="62"/>
      <c r="C250" s="76"/>
      <c r="D250" s="77"/>
      <c r="E250" s="62"/>
      <c r="F250" s="83">
        <f t="shared" si="0"/>
        <v>247</v>
      </c>
      <c r="G250" s="84">
        <f t="shared" si="1"/>
        <v>8114.2199844205015</v>
      </c>
      <c r="H250" s="84">
        <f t="shared" si="2"/>
        <v>1753.2298704353498</v>
      </c>
      <c r="I250" s="84">
        <f t="shared" si="3"/>
        <v>6360.9901139851518</v>
      </c>
      <c r="J250" s="84">
        <f t="shared" si="4"/>
        <v>811189.34769498266</v>
      </c>
      <c r="K250" s="80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15.75" customHeight="1" x14ac:dyDescent="0.25">
      <c r="A251" s="62"/>
      <c r="B251" s="62"/>
      <c r="C251" s="76"/>
      <c r="D251" s="77"/>
      <c r="E251" s="62"/>
      <c r="F251" s="83">
        <f t="shared" si="0"/>
        <v>248</v>
      </c>
      <c r="G251" s="84">
        <f t="shared" si="1"/>
        <v>8114.2199844205015</v>
      </c>
      <c r="H251" s="84">
        <f t="shared" si="2"/>
        <v>1739.9778076978807</v>
      </c>
      <c r="I251" s="84">
        <f t="shared" si="3"/>
        <v>6374.2421767226206</v>
      </c>
      <c r="J251" s="84">
        <f t="shared" si="4"/>
        <v>804815.10551826004</v>
      </c>
      <c r="K251" s="80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15.75" customHeight="1" x14ac:dyDescent="0.25">
      <c r="A252" s="62"/>
      <c r="B252" s="62"/>
      <c r="C252" s="76"/>
      <c r="D252" s="77"/>
      <c r="E252" s="62"/>
      <c r="F252" s="83">
        <f t="shared" si="0"/>
        <v>249</v>
      </c>
      <c r="G252" s="84">
        <f t="shared" si="1"/>
        <v>8114.2199844205015</v>
      </c>
      <c r="H252" s="84">
        <f t="shared" si="2"/>
        <v>1726.6981364963751</v>
      </c>
      <c r="I252" s="84">
        <f t="shared" si="3"/>
        <v>6387.5218479241266</v>
      </c>
      <c r="J252" s="84">
        <f t="shared" si="4"/>
        <v>798427.58367033594</v>
      </c>
      <c r="K252" s="80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15.75" customHeight="1" x14ac:dyDescent="0.25">
      <c r="A253" s="62"/>
      <c r="B253" s="62"/>
      <c r="C253" s="76"/>
      <c r="D253" s="77"/>
      <c r="E253" s="62"/>
      <c r="F253" s="83">
        <f t="shared" si="0"/>
        <v>250</v>
      </c>
      <c r="G253" s="84">
        <f t="shared" si="1"/>
        <v>8114.2199844205015</v>
      </c>
      <c r="H253" s="84">
        <f t="shared" si="2"/>
        <v>1713.3907993132</v>
      </c>
      <c r="I253" s="84">
        <f t="shared" si="3"/>
        <v>6400.8291851073018</v>
      </c>
      <c r="J253" s="84">
        <f t="shared" si="4"/>
        <v>792026.75448522868</v>
      </c>
      <c r="K253" s="80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15.75" customHeight="1" x14ac:dyDescent="0.25">
      <c r="A254" s="62"/>
      <c r="B254" s="62"/>
      <c r="C254" s="76"/>
      <c r="D254" s="77"/>
      <c r="E254" s="62"/>
      <c r="F254" s="83">
        <f t="shared" si="0"/>
        <v>251</v>
      </c>
      <c r="G254" s="84">
        <f t="shared" si="1"/>
        <v>8114.2199844205015</v>
      </c>
      <c r="H254" s="84">
        <f t="shared" si="2"/>
        <v>1700.0557385108932</v>
      </c>
      <c r="I254" s="84">
        <f t="shared" si="3"/>
        <v>6414.1642459096083</v>
      </c>
      <c r="J254" s="84">
        <f t="shared" si="4"/>
        <v>785612.59023931902</v>
      </c>
      <c r="K254" s="80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15.75" customHeight="1" x14ac:dyDescent="0.25">
      <c r="A255" s="62"/>
      <c r="B255" s="62"/>
      <c r="C255" s="76"/>
      <c r="D255" s="77"/>
      <c r="E255" s="62"/>
      <c r="F255" s="83">
        <f t="shared" si="0"/>
        <v>252</v>
      </c>
      <c r="G255" s="84">
        <f t="shared" si="1"/>
        <v>8114.2199844205015</v>
      </c>
      <c r="H255" s="84">
        <f t="shared" si="2"/>
        <v>1686.6928963319149</v>
      </c>
      <c r="I255" s="84">
        <f t="shared" si="3"/>
        <v>6427.5270880885864</v>
      </c>
      <c r="J255" s="84">
        <f t="shared" si="4"/>
        <v>779185.06315123045</v>
      </c>
      <c r="K255" s="80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15.75" customHeight="1" x14ac:dyDescent="0.25">
      <c r="A256" s="62"/>
      <c r="B256" s="62"/>
      <c r="C256" s="76"/>
      <c r="D256" s="77"/>
      <c r="E256" s="62"/>
      <c r="F256" s="83">
        <f t="shared" si="0"/>
        <v>253</v>
      </c>
      <c r="G256" s="84">
        <f t="shared" si="1"/>
        <v>8114.2199844205015</v>
      </c>
      <c r="H256" s="84">
        <f t="shared" si="2"/>
        <v>1673.3022148983966</v>
      </c>
      <c r="I256" s="84">
        <f t="shared" si="3"/>
        <v>6440.9177695221051</v>
      </c>
      <c r="J256" s="84">
        <f t="shared" si="4"/>
        <v>772744.1453817084</v>
      </c>
      <c r="K256" s="80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15.75" customHeight="1" x14ac:dyDescent="0.25">
      <c r="A257" s="62"/>
      <c r="B257" s="62"/>
      <c r="C257" s="76"/>
      <c r="D257" s="77"/>
      <c r="E257" s="62"/>
      <c r="F257" s="83">
        <f t="shared" si="0"/>
        <v>254</v>
      </c>
      <c r="G257" s="84">
        <f t="shared" si="1"/>
        <v>8114.2199844205015</v>
      </c>
      <c r="H257" s="84">
        <f t="shared" si="2"/>
        <v>1659.8836362118925</v>
      </c>
      <c r="I257" s="84">
        <f t="shared" si="3"/>
        <v>6454.3363482086088</v>
      </c>
      <c r="J257" s="84">
        <f t="shared" si="4"/>
        <v>766289.8090334998</v>
      </c>
      <c r="K257" s="80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15.75" customHeight="1" x14ac:dyDescent="0.25">
      <c r="A258" s="62"/>
      <c r="B258" s="62"/>
      <c r="C258" s="76"/>
      <c r="D258" s="77"/>
      <c r="E258" s="62"/>
      <c r="F258" s="83">
        <f t="shared" si="0"/>
        <v>255</v>
      </c>
      <c r="G258" s="84">
        <f t="shared" si="1"/>
        <v>8114.2199844205015</v>
      </c>
      <c r="H258" s="84">
        <f t="shared" si="2"/>
        <v>1646.4371021531244</v>
      </c>
      <c r="I258" s="84">
        <f t="shared" si="3"/>
        <v>6467.7828822673773</v>
      </c>
      <c r="J258" s="84">
        <f t="shared" si="4"/>
        <v>759822.02615123242</v>
      </c>
      <c r="K258" s="80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15.75" customHeight="1" x14ac:dyDescent="0.25">
      <c r="A259" s="62"/>
      <c r="B259" s="62"/>
      <c r="C259" s="76"/>
      <c r="D259" s="77"/>
      <c r="E259" s="62"/>
      <c r="F259" s="83">
        <f t="shared" ref="F259:F513" si="18">IF(F258&lt;&gt;"",IF(J258&gt;1,F258+1,""),"")</f>
        <v>256</v>
      </c>
      <c r="G259" s="84">
        <f t="shared" ref="G259:G513" si="19">IF(F259&lt;&gt;"",IF(J258&gt;$C$15,$C$15,J258+H259),"")</f>
        <v>8114.2199844205015</v>
      </c>
      <c r="H259" s="84">
        <f t="shared" ref="H259:H513" si="20">IF(F259&lt;&gt;"",J258*$C$4%/$C$7+$C$8,"")</f>
        <v>1632.9625544817343</v>
      </c>
      <c r="I259" s="84">
        <f t="shared" ref="I259:I513" si="21">IF(F259&lt;&gt;"",IF(F259&gt;$C$6*$C$7,G259-H259,0),"")</f>
        <v>6481.257429938767</v>
      </c>
      <c r="J259" s="84">
        <f t="shared" ref="J259:J513" si="22">IF(F259&lt;&gt;"",J258-I259-K259,"")</f>
        <v>753340.76872129366</v>
      </c>
      <c r="K259" s="80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15.75" customHeight="1" x14ac:dyDescent="0.25">
      <c r="A260" s="62"/>
      <c r="B260" s="62"/>
      <c r="C260" s="76"/>
      <c r="D260" s="77"/>
      <c r="E260" s="62"/>
      <c r="F260" s="83">
        <f t="shared" si="18"/>
        <v>257</v>
      </c>
      <c r="G260" s="84">
        <f t="shared" si="19"/>
        <v>8114.2199844205015</v>
      </c>
      <c r="H260" s="84">
        <f t="shared" si="20"/>
        <v>1619.4599348360287</v>
      </c>
      <c r="I260" s="84">
        <f t="shared" si="21"/>
        <v>6494.7600495844727</v>
      </c>
      <c r="J260" s="84">
        <f t="shared" si="22"/>
        <v>746846.00867170922</v>
      </c>
      <c r="K260" s="80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15.75" customHeight="1" x14ac:dyDescent="0.25">
      <c r="A261" s="62"/>
      <c r="B261" s="62"/>
      <c r="C261" s="76"/>
      <c r="D261" s="77"/>
      <c r="E261" s="62"/>
      <c r="F261" s="83">
        <f t="shared" si="18"/>
        <v>258</v>
      </c>
      <c r="G261" s="84">
        <f t="shared" si="19"/>
        <v>8114.2199844205015</v>
      </c>
      <c r="H261" s="84">
        <f t="shared" si="20"/>
        <v>1605.9291847327277</v>
      </c>
      <c r="I261" s="84">
        <f t="shared" si="21"/>
        <v>6508.2907996877739</v>
      </c>
      <c r="J261" s="84">
        <f t="shared" si="22"/>
        <v>740337.71787202149</v>
      </c>
      <c r="K261" s="80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15.75" customHeight="1" x14ac:dyDescent="0.25">
      <c r="A262" s="62"/>
      <c r="B262" s="62"/>
      <c r="C262" s="76"/>
      <c r="D262" s="77"/>
      <c r="E262" s="62"/>
      <c r="F262" s="83">
        <f t="shared" si="18"/>
        <v>259</v>
      </c>
      <c r="G262" s="84">
        <f t="shared" si="19"/>
        <v>8114.2199844205015</v>
      </c>
      <c r="H262" s="84">
        <f t="shared" si="20"/>
        <v>1592.3702455667114</v>
      </c>
      <c r="I262" s="84">
        <f t="shared" si="21"/>
        <v>6521.8497388537899</v>
      </c>
      <c r="J262" s="84">
        <f t="shared" si="22"/>
        <v>733815.86813316774</v>
      </c>
      <c r="K262" s="80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15.75" customHeight="1" x14ac:dyDescent="0.25">
      <c r="A263" s="62"/>
      <c r="B263" s="62"/>
      <c r="C263" s="76"/>
      <c r="D263" s="77"/>
      <c r="E263" s="62"/>
      <c r="F263" s="83">
        <f t="shared" si="18"/>
        <v>260</v>
      </c>
      <c r="G263" s="84">
        <f t="shared" si="19"/>
        <v>8114.2199844205015</v>
      </c>
      <c r="H263" s="84">
        <f t="shared" si="20"/>
        <v>1578.7830586107664</v>
      </c>
      <c r="I263" s="84">
        <f t="shared" si="21"/>
        <v>6535.4369258097349</v>
      </c>
      <c r="J263" s="84">
        <f t="shared" si="22"/>
        <v>727280.43120735802</v>
      </c>
      <c r="K263" s="80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15.75" customHeight="1" x14ac:dyDescent="0.25">
      <c r="A264" s="62"/>
      <c r="B264" s="62"/>
      <c r="C264" s="76"/>
      <c r="D264" s="77"/>
      <c r="E264" s="62"/>
      <c r="F264" s="83">
        <f t="shared" si="18"/>
        <v>261</v>
      </c>
      <c r="G264" s="84">
        <f t="shared" si="19"/>
        <v>8114.2199844205015</v>
      </c>
      <c r="H264" s="84">
        <f t="shared" si="20"/>
        <v>1565.1675650153293</v>
      </c>
      <c r="I264" s="84">
        <f t="shared" si="21"/>
        <v>6549.0524194051723</v>
      </c>
      <c r="J264" s="84">
        <f t="shared" si="22"/>
        <v>720731.37878795282</v>
      </c>
      <c r="K264" s="80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15.75" customHeight="1" x14ac:dyDescent="0.25">
      <c r="A265" s="62"/>
      <c r="B265" s="62"/>
      <c r="C265" s="76"/>
      <c r="D265" s="77"/>
      <c r="E265" s="62"/>
      <c r="F265" s="83">
        <f t="shared" si="18"/>
        <v>262</v>
      </c>
      <c r="G265" s="84">
        <f t="shared" si="19"/>
        <v>8114.2199844205015</v>
      </c>
      <c r="H265" s="84">
        <f t="shared" si="20"/>
        <v>1551.523705808235</v>
      </c>
      <c r="I265" s="84">
        <f t="shared" si="21"/>
        <v>6562.6962786122667</v>
      </c>
      <c r="J265" s="84">
        <f t="shared" si="22"/>
        <v>714168.68250934058</v>
      </c>
      <c r="K265" s="80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15.75" customHeight="1" x14ac:dyDescent="0.25">
      <c r="A266" s="62"/>
      <c r="B266" s="62"/>
      <c r="C266" s="76"/>
      <c r="D266" s="77"/>
      <c r="E266" s="62"/>
      <c r="F266" s="83">
        <f t="shared" si="18"/>
        <v>263</v>
      </c>
      <c r="G266" s="84">
        <f t="shared" si="19"/>
        <v>8114.2199844205015</v>
      </c>
      <c r="H266" s="84">
        <f t="shared" si="20"/>
        <v>1537.8514218944595</v>
      </c>
      <c r="I266" s="84">
        <f t="shared" si="21"/>
        <v>6576.3685625260423</v>
      </c>
      <c r="J266" s="84">
        <f t="shared" si="22"/>
        <v>707592.31394681451</v>
      </c>
      <c r="K266" s="80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15.75" customHeight="1" x14ac:dyDescent="0.25">
      <c r="A267" s="62"/>
      <c r="B267" s="62"/>
      <c r="C267" s="76"/>
      <c r="D267" s="77"/>
      <c r="E267" s="62"/>
      <c r="F267" s="83">
        <f t="shared" si="18"/>
        <v>264</v>
      </c>
      <c r="G267" s="84">
        <f t="shared" si="19"/>
        <v>8114.2199844205015</v>
      </c>
      <c r="H267" s="84">
        <f t="shared" si="20"/>
        <v>1524.1506540558637</v>
      </c>
      <c r="I267" s="84">
        <f t="shared" si="21"/>
        <v>6590.0693303646376</v>
      </c>
      <c r="J267" s="84">
        <f t="shared" si="22"/>
        <v>701002.24461644993</v>
      </c>
      <c r="K267" s="80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15.75" customHeight="1" x14ac:dyDescent="0.25">
      <c r="A268" s="62"/>
      <c r="B268" s="62"/>
      <c r="C268" s="76"/>
      <c r="D268" s="77"/>
      <c r="E268" s="62"/>
      <c r="F268" s="83">
        <f t="shared" si="18"/>
        <v>265</v>
      </c>
      <c r="G268" s="84">
        <f t="shared" si="19"/>
        <v>8114.2199844205015</v>
      </c>
      <c r="H268" s="84">
        <f t="shared" si="20"/>
        <v>1510.4213429509373</v>
      </c>
      <c r="I268" s="84">
        <f t="shared" si="21"/>
        <v>6603.7986414695642</v>
      </c>
      <c r="J268" s="84">
        <f t="shared" si="22"/>
        <v>694398.44597498036</v>
      </c>
      <c r="K268" s="80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15.75" customHeight="1" x14ac:dyDescent="0.25">
      <c r="A269" s="62"/>
      <c r="B269" s="62"/>
      <c r="C269" s="76"/>
      <c r="D269" s="77"/>
      <c r="E269" s="62"/>
      <c r="F269" s="83">
        <f t="shared" si="18"/>
        <v>266</v>
      </c>
      <c r="G269" s="84">
        <f t="shared" si="19"/>
        <v>8114.2199844205015</v>
      </c>
      <c r="H269" s="84">
        <f t="shared" si="20"/>
        <v>1496.6634291145426</v>
      </c>
      <c r="I269" s="84">
        <f t="shared" si="21"/>
        <v>6617.5565553059587</v>
      </c>
      <c r="J269" s="84">
        <f t="shared" si="22"/>
        <v>687780.88941967441</v>
      </c>
      <c r="K269" s="80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15.75" customHeight="1" x14ac:dyDescent="0.25">
      <c r="A270" s="62"/>
      <c r="B270" s="62"/>
      <c r="C270" s="76"/>
      <c r="D270" s="77"/>
      <c r="E270" s="62"/>
      <c r="F270" s="83">
        <f t="shared" si="18"/>
        <v>267</v>
      </c>
      <c r="G270" s="84">
        <f t="shared" si="19"/>
        <v>8114.2199844205015</v>
      </c>
      <c r="H270" s="84">
        <f t="shared" si="20"/>
        <v>1482.8768529576553</v>
      </c>
      <c r="I270" s="84">
        <f t="shared" si="21"/>
        <v>6631.343131462846</v>
      </c>
      <c r="J270" s="84">
        <f t="shared" si="22"/>
        <v>681149.5462882116</v>
      </c>
      <c r="K270" s="80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15.75" customHeight="1" x14ac:dyDescent="0.25">
      <c r="A271" s="62"/>
      <c r="B271" s="62"/>
      <c r="C271" s="76"/>
      <c r="D271" s="77"/>
      <c r="E271" s="62"/>
      <c r="F271" s="83">
        <f t="shared" si="18"/>
        <v>268</v>
      </c>
      <c r="G271" s="84">
        <f t="shared" si="19"/>
        <v>8114.2199844205015</v>
      </c>
      <c r="H271" s="84">
        <f t="shared" si="20"/>
        <v>1469.0615547671075</v>
      </c>
      <c r="I271" s="84">
        <f t="shared" si="21"/>
        <v>6645.1584296533938</v>
      </c>
      <c r="J271" s="84">
        <f t="shared" si="22"/>
        <v>674504.38785855821</v>
      </c>
      <c r="K271" s="80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15.75" customHeight="1" x14ac:dyDescent="0.25">
      <c r="A272" s="62"/>
      <c r="B272" s="62"/>
      <c r="C272" s="76"/>
      <c r="D272" s="77"/>
      <c r="E272" s="62"/>
      <c r="F272" s="83">
        <f t="shared" si="18"/>
        <v>269</v>
      </c>
      <c r="G272" s="84">
        <f t="shared" si="19"/>
        <v>8114.2199844205015</v>
      </c>
      <c r="H272" s="84">
        <f t="shared" si="20"/>
        <v>1455.2174747053296</v>
      </c>
      <c r="I272" s="84">
        <f t="shared" si="21"/>
        <v>6659.002509715172</v>
      </c>
      <c r="J272" s="84">
        <f t="shared" si="22"/>
        <v>667845.38534884306</v>
      </c>
      <c r="K272" s="80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15.75" customHeight="1" x14ac:dyDescent="0.25">
      <c r="A273" s="62"/>
      <c r="B273" s="62"/>
      <c r="C273" s="76"/>
      <c r="D273" s="77"/>
      <c r="E273" s="62"/>
      <c r="F273" s="83">
        <f t="shared" si="18"/>
        <v>270</v>
      </c>
      <c r="G273" s="84">
        <f t="shared" si="19"/>
        <v>8114.2199844205015</v>
      </c>
      <c r="H273" s="84">
        <f t="shared" si="20"/>
        <v>1441.3445528100899</v>
      </c>
      <c r="I273" s="84">
        <f t="shared" si="21"/>
        <v>6672.8754316104114</v>
      </c>
      <c r="J273" s="84">
        <f t="shared" si="22"/>
        <v>661172.50991723267</v>
      </c>
      <c r="K273" s="80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15.75" customHeight="1" x14ac:dyDescent="0.25">
      <c r="A274" s="62"/>
      <c r="B274" s="62"/>
      <c r="C274" s="76"/>
      <c r="D274" s="77"/>
      <c r="E274" s="62"/>
      <c r="F274" s="83">
        <f t="shared" si="18"/>
        <v>271</v>
      </c>
      <c r="G274" s="84">
        <f t="shared" si="19"/>
        <v>8114.2199844205015</v>
      </c>
      <c r="H274" s="84">
        <f t="shared" si="20"/>
        <v>1427.4427289942348</v>
      </c>
      <c r="I274" s="84">
        <f t="shared" si="21"/>
        <v>6686.7772554262665</v>
      </c>
      <c r="J274" s="84">
        <f t="shared" si="22"/>
        <v>654485.7326618064</v>
      </c>
      <c r="K274" s="80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15.75" customHeight="1" x14ac:dyDescent="0.25">
      <c r="A275" s="62"/>
      <c r="B275" s="62"/>
      <c r="C275" s="76"/>
      <c r="D275" s="77"/>
      <c r="E275" s="62"/>
      <c r="F275" s="83">
        <f t="shared" si="18"/>
        <v>272</v>
      </c>
      <c r="G275" s="84">
        <f t="shared" si="19"/>
        <v>8114.2199844205015</v>
      </c>
      <c r="H275" s="84">
        <f t="shared" si="20"/>
        <v>1413.5119430454299</v>
      </c>
      <c r="I275" s="84">
        <f t="shared" si="21"/>
        <v>6700.7080413750718</v>
      </c>
      <c r="J275" s="84">
        <f t="shared" si="22"/>
        <v>647785.02462043136</v>
      </c>
      <c r="K275" s="80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15.75" customHeight="1" x14ac:dyDescent="0.25">
      <c r="A276" s="62"/>
      <c r="B276" s="62"/>
      <c r="C276" s="76"/>
      <c r="D276" s="77"/>
      <c r="E276" s="62"/>
      <c r="F276" s="83">
        <f t="shared" si="18"/>
        <v>273</v>
      </c>
      <c r="G276" s="84">
        <f t="shared" si="19"/>
        <v>8114.2199844205015</v>
      </c>
      <c r="H276" s="84">
        <f t="shared" si="20"/>
        <v>1399.5521346258986</v>
      </c>
      <c r="I276" s="84">
        <f t="shared" si="21"/>
        <v>6714.6678497946032</v>
      </c>
      <c r="J276" s="84">
        <f t="shared" si="22"/>
        <v>641070.35677063675</v>
      </c>
      <c r="K276" s="80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15.75" customHeight="1" x14ac:dyDescent="0.25">
      <c r="A277" s="62"/>
      <c r="B277" s="62"/>
      <c r="C277" s="76"/>
      <c r="D277" s="77"/>
      <c r="E277" s="62"/>
      <c r="F277" s="83">
        <f t="shared" si="18"/>
        <v>274</v>
      </c>
      <c r="G277" s="84">
        <f t="shared" si="19"/>
        <v>8114.2199844205015</v>
      </c>
      <c r="H277" s="84">
        <f t="shared" si="20"/>
        <v>1385.56324327216</v>
      </c>
      <c r="I277" s="84">
        <f t="shared" si="21"/>
        <v>6728.6567411483411</v>
      </c>
      <c r="J277" s="84">
        <f t="shared" si="22"/>
        <v>634341.70002948842</v>
      </c>
      <c r="K277" s="80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15.75" customHeight="1" x14ac:dyDescent="0.25">
      <c r="A278" s="62"/>
      <c r="B278" s="62"/>
      <c r="C278" s="76"/>
      <c r="D278" s="77"/>
      <c r="E278" s="62"/>
      <c r="F278" s="83">
        <f t="shared" si="18"/>
        <v>275</v>
      </c>
      <c r="G278" s="84">
        <f t="shared" si="19"/>
        <v>8114.2199844205015</v>
      </c>
      <c r="H278" s="84">
        <f t="shared" si="20"/>
        <v>1371.5452083947675</v>
      </c>
      <c r="I278" s="84">
        <f t="shared" si="21"/>
        <v>6742.674776025734</v>
      </c>
      <c r="J278" s="84">
        <f t="shared" si="22"/>
        <v>627599.02525346272</v>
      </c>
      <c r="K278" s="80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15.75" customHeight="1" x14ac:dyDescent="0.25">
      <c r="A279" s="62"/>
      <c r="B279" s="62"/>
      <c r="C279" s="76"/>
      <c r="D279" s="77"/>
      <c r="E279" s="62"/>
      <c r="F279" s="83">
        <f t="shared" si="18"/>
        <v>276</v>
      </c>
      <c r="G279" s="84">
        <f t="shared" si="19"/>
        <v>8114.2199844205015</v>
      </c>
      <c r="H279" s="84">
        <f t="shared" si="20"/>
        <v>1357.4979692780473</v>
      </c>
      <c r="I279" s="84">
        <f t="shared" si="21"/>
        <v>6756.7220151424544</v>
      </c>
      <c r="J279" s="84">
        <f t="shared" si="22"/>
        <v>620842.30323832028</v>
      </c>
      <c r="K279" s="80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15.75" customHeight="1" x14ac:dyDescent="0.25">
      <c r="A280" s="62"/>
      <c r="B280" s="62"/>
      <c r="C280" s="76"/>
      <c r="D280" s="77"/>
      <c r="E280" s="62"/>
      <c r="F280" s="83">
        <f t="shared" si="18"/>
        <v>277</v>
      </c>
      <c r="G280" s="84">
        <f t="shared" si="19"/>
        <v>8114.2199844205015</v>
      </c>
      <c r="H280" s="84">
        <f t="shared" si="20"/>
        <v>1343.421465079834</v>
      </c>
      <c r="I280" s="84">
        <f t="shared" si="21"/>
        <v>6770.7985193406676</v>
      </c>
      <c r="J280" s="84">
        <f t="shared" si="22"/>
        <v>614071.50471897959</v>
      </c>
      <c r="K280" s="80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15.75" customHeight="1" x14ac:dyDescent="0.25">
      <c r="A281" s="62"/>
      <c r="B281" s="62"/>
      <c r="C281" s="76"/>
      <c r="D281" s="77"/>
      <c r="E281" s="62"/>
      <c r="F281" s="83">
        <f t="shared" si="18"/>
        <v>278</v>
      </c>
      <c r="G281" s="84">
        <f t="shared" si="19"/>
        <v>8114.2199844205015</v>
      </c>
      <c r="H281" s="84">
        <f t="shared" si="20"/>
        <v>1329.3156348312075</v>
      </c>
      <c r="I281" s="84">
        <f t="shared" si="21"/>
        <v>6784.9043495892938</v>
      </c>
      <c r="J281" s="84">
        <f t="shared" si="22"/>
        <v>607286.60036939033</v>
      </c>
      <c r="K281" s="80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15.75" customHeight="1" x14ac:dyDescent="0.25">
      <c r="A282" s="62"/>
      <c r="B282" s="62"/>
      <c r="C282" s="76"/>
      <c r="D282" s="77"/>
      <c r="E282" s="62"/>
      <c r="F282" s="83">
        <f t="shared" si="18"/>
        <v>279</v>
      </c>
      <c r="G282" s="84">
        <f t="shared" si="19"/>
        <v>8114.2199844205015</v>
      </c>
      <c r="H282" s="84">
        <f t="shared" si="20"/>
        <v>1315.1804174362298</v>
      </c>
      <c r="I282" s="84">
        <f t="shared" si="21"/>
        <v>6799.0395669842719</v>
      </c>
      <c r="J282" s="84">
        <f t="shared" si="22"/>
        <v>600487.56080240605</v>
      </c>
      <c r="K282" s="80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15.75" customHeight="1" x14ac:dyDescent="0.25">
      <c r="A283" s="62"/>
      <c r="B283" s="62"/>
      <c r="C283" s="76"/>
      <c r="D283" s="77"/>
      <c r="E283" s="62"/>
      <c r="F283" s="83">
        <f t="shared" si="18"/>
        <v>280</v>
      </c>
      <c r="G283" s="84">
        <f t="shared" si="19"/>
        <v>8114.2199844205015</v>
      </c>
      <c r="H283" s="84">
        <f t="shared" si="20"/>
        <v>1301.0157516716793</v>
      </c>
      <c r="I283" s="84">
        <f t="shared" si="21"/>
        <v>6813.2042327488225</v>
      </c>
      <c r="J283" s="84">
        <f t="shared" si="22"/>
        <v>593674.35656965722</v>
      </c>
      <c r="K283" s="80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15.75" customHeight="1" x14ac:dyDescent="0.25">
      <c r="A284" s="62"/>
      <c r="B284" s="62"/>
      <c r="C284" s="76"/>
      <c r="D284" s="77"/>
      <c r="E284" s="62"/>
      <c r="F284" s="83">
        <f t="shared" si="18"/>
        <v>281</v>
      </c>
      <c r="G284" s="84">
        <f t="shared" si="19"/>
        <v>8114.2199844205015</v>
      </c>
      <c r="H284" s="84">
        <f t="shared" si="20"/>
        <v>1286.8215761867859</v>
      </c>
      <c r="I284" s="84">
        <f t="shared" si="21"/>
        <v>6827.3984082337156</v>
      </c>
      <c r="J284" s="84">
        <f t="shared" si="22"/>
        <v>586846.95816142345</v>
      </c>
      <c r="K284" s="80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15.75" customHeight="1" x14ac:dyDescent="0.25">
      <c r="A285" s="62"/>
      <c r="B285" s="62"/>
      <c r="C285" s="76"/>
      <c r="D285" s="77"/>
      <c r="E285" s="62"/>
      <c r="F285" s="83">
        <f t="shared" si="18"/>
        <v>282</v>
      </c>
      <c r="G285" s="84">
        <f t="shared" si="19"/>
        <v>8114.2199844205015</v>
      </c>
      <c r="H285" s="84">
        <f t="shared" si="20"/>
        <v>1272.5978295029656</v>
      </c>
      <c r="I285" s="84">
        <f t="shared" si="21"/>
        <v>6841.6221549175361</v>
      </c>
      <c r="J285" s="84">
        <f t="shared" si="22"/>
        <v>580005.33600650588</v>
      </c>
      <c r="K285" s="80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15.75" customHeight="1" x14ac:dyDescent="0.25">
      <c r="A286" s="62"/>
      <c r="B286" s="62"/>
      <c r="C286" s="76"/>
      <c r="D286" s="77"/>
      <c r="E286" s="62"/>
      <c r="F286" s="83">
        <f t="shared" si="18"/>
        <v>283</v>
      </c>
      <c r="G286" s="84">
        <f t="shared" si="19"/>
        <v>8114.2199844205015</v>
      </c>
      <c r="H286" s="84">
        <f t="shared" si="20"/>
        <v>1258.344450013554</v>
      </c>
      <c r="I286" s="84">
        <f t="shared" si="21"/>
        <v>6855.8755344069477</v>
      </c>
      <c r="J286" s="84">
        <f t="shared" si="22"/>
        <v>573149.4604720989</v>
      </c>
      <c r="K286" s="80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15.75" customHeight="1" x14ac:dyDescent="0.25">
      <c r="A287" s="62"/>
      <c r="B287" s="62"/>
      <c r="C287" s="76"/>
      <c r="D287" s="77"/>
      <c r="E287" s="62"/>
      <c r="F287" s="83">
        <f t="shared" si="18"/>
        <v>284</v>
      </c>
      <c r="G287" s="84">
        <f t="shared" si="19"/>
        <v>8114.2199844205015</v>
      </c>
      <c r="H287" s="84">
        <f t="shared" si="20"/>
        <v>1244.0613759835394</v>
      </c>
      <c r="I287" s="84">
        <f t="shared" si="21"/>
        <v>6870.1586084369619</v>
      </c>
      <c r="J287" s="84">
        <f t="shared" si="22"/>
        <v>566279.30186366197</v>
      </c>
      <c r="K287" s="80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15.75" customHeight="1" x14ac:dyDescent="0.25">
      <c r="A288" s="62"/>
      <c r="B288" s="62"/>
      <c r="C288" s="76"/>
      <c r="D288" s="77"/>
      <c r="E288" s="62"/>
      <c r="F288" s="83">
        <f t="shared" si="18"/>
        <v>285</v>
      </c>
      <c r="G288" s="84">
        <f t="shared" si="19"/>
        <v>8114.2199844205015</v>
      </c>
      <c r="H288" s="84">
        <f t="shared" si="20"/>
        <v>1229.7485455492958</v>
      </c>
      <c r="I288" s="84">
        <f t="shared" si="21"/>
        <v>6884.4714388712055</v>
      </c>
      <c r="J288" s="84">
        <f t="shared" si="22"/>
        <v>559394.83042479074</v>
      </c>
      <c r="K288" s="80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15.75" customHeight="1" x14ac:dyDescent="0.25">
      <c r="A289" s="62"/>
      <c r="B289" s="62"/>
      <c r="C289" s="76"/>
      <c r="D289" s="77"/>
      <c r="E289" s="62"/>
      <c r="F289" s="83">
        <f t="shared" si="18"/>
        <v>286</v>
      </c>
      <c r="G289" s="84">
        <f t="shared" si="19"/>
        <v>8114.2199844205015</v>
      </c>
      <c r="H289" s="84">
        <f t="shared" si="20"/>
        <v>1215.4058967183141</v>
      </c>
      <c r="I289" s="84">
        <f t="shared" si="21"/>
        <v>6898.814087702187</v>
      </c>
      <c r="J289" s="84">
        <f t="shared" si="22"/>
        <v>552496.01633708854</v>
      </c>
      <c r="K289" s="80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15.75" customHeight="1" x14ac:dyDescent="0.25">
      <c r="A290" s="62"/>
      <c r="B290" s="62"/>
      <c r="C290" s="76"/>
      <c r="D290" s="77"/>
      <c r="E290" s="62"/>
      <c r="F290" s="83">
        <f t="shared" si="18"/>
        <v>287</v>
      </c>
      <c r="G290" s="84">
        <f t="shared" si="19"/>
        <v>8114.2199844205015</v>
      </c>
      <c r="H290" s="84">
        <f t="shared" si="20"/>
        <v>1201.0333673689345</v>
      </c>
      <c r="I290" s="84">
        <f t="shared" si="21"/>
        <v>6913.1866170515668</v>
      </c>
      <c r="J290" s="84">
        <f t="shared" si="22"/>
        <v>545582.82972003694</v>
      </c>
      <c r="K290" s="80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15.75" customHeight="1" x14ac:dyDescent="0.25">
      <c r="A291" s="62"/>
      <c r="B291" s="62"/>
      <c r="C291" s="76"/>
      <c r="D291" s="77"/>
      <c r="E291" s="62"/>
      <c r="F291" s="83">
        <f t="shared" si="18"/>
        <v>288</v>
      </c>
      <c r="G291" s="84">
        <f t="shared" si="19"/>
        <v>8114.2199844205015</v>
      </c>
      <c r="H291" s="84">
        <f t="shared" si="20"/>
        <v>1186.6308952500769</v>
      </c>
      <c r="I291" s="84">
        <f t="shared" si="21"/>
        <v>6927.5890891704248</v>
      </c>
      <c r="J291" s="84">
        <f t="shared" si="22"/>
        <v>538655.24063086649</v>
      </c>
      <c r="K291" s="80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15.75" customHeight="1" x14ac:dyDescent="0.25">
      <c r="A292" s="62"/>
      <c r="B292" s="62"/>
      <c r="C292" s="76"/>
      <c r="D292" s="77"/>
      <c r="E292" s="62"/>
      <c r="F292" s="83">
        <f t="shared" si="18"/>
        <v>289</v>
      </c>
      <c r="G292" s="84">
        <f t="shared" si="19"/>
        <v>8114.2199844205015</v>
      </c>
      <c r="H292" s="84">
        <f t="shared" si="20"/>
        <v>1172.198417980972</v>
      </c>
      <c r="I292" s="84">
        <f t="shared" si="21"/>
        <v>6942.0215664395291</v>
      </c>
      <c r="J292" s="84">
        <f t="shared" si="22"/>
        <v>531713.21906442696</v>
      </c>
      <c r="K292" s="80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15.75" customHeight="1" x14ac:dyDescent="0.25">
      <c r="A293" s="62"/>
      <c r="B293" s="62"/>
      <c r="C293" s="76"/>
      <c r="D293" s="77"/>
      <c r="E293" s="62"/>
      <c r="F293" s="83">
        <f t="shared" si="18"/>
        <v>290</v>
      </c>
      <c r="G293" s="84">
        <f t="shared" si="19"/>
        <v>8114.2199844205015</v>
      </c>
      <c r="H293" s="84">
        <f t="shared" si="20"/>
        <v>1157.7358730508895</v>
      </c>
      <c r="I293" s="84">
        <f t="shared" si="21"/>
        <v>6956.484111369612</v>
      </c>
      <c r="J293" s="84">
        <f t="shared" si="22"/>
        <v>524756.73495305737</v>
      </c>
      <c r="K293" s="80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15.75" customHeight="1" x14ac:dyDescent="0.25">
      <c r="A294" s="62"/>
      <c r="B294" s="62"/>
      <c r="C294" s="76"/>
      <c r="D294" s="77"/>
      <c r="E294" s="62"/>
      <c r="F294" s="83">
        <f t="shared" si="18"/>
        <v>291</v>
      </c>
      <c r="G294" s="84">
        <f t="shared" si="19"/>
        <v>8114.2199844205015</v>
      </c>
      <c r="H294" s="84">
        <f t="shared" si="20"/>
        <v>1143.2431978188695</v>
      </c>
      <c r="I294" s="84">
        <f t="shared" si="21"/>
        <v>6970.9767866016318</v>
      </c>
      <c r="J294" s="84">
        <f t="shared" si="22"/>
        <v>517785.75816645572</v>
      </c>
      <c r="K294" s="80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15.75" customHeight="1" x14ac:dyDescent="0.25">
      <c r="A295" s="62"/>
      <c r="B295" s="62"/>
      <c r="C295" s="76"/>
      <c r="D295" s="77"/>
      <c r="E295" s="62"/>
      <c r="F295" s="83">
        <f t="shared" si="18"/>
        <v>292</v>
      </c>
      <c r="G295" s="84">
        <f t="shared" si="19"/>
        <v>8114.2199844205015</v>
      </c>
      <c r="H295" s="84">
        <f t="shared" si="20"/>
        <v>1128.7203295134495</v>
      </c>
      <c r="I295" s="84">
        <f t="shared" si="21"/>
        <v>6985.499654907052</v>
      </c>
      <c r="J295" s="84">
        <f t="shared" si="22"/>
        <v>510800.25851154869</v>
      </c>
      <c r="K295" s="80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15.75" customHeight="1" x14ac:dyDescent="0.25">
      <c r="A296" s="62"/>
      <c r="B296" s="62"/>
      <c r="C296" s="76"/>
      <c r="D296" s="77"/>
      <c r="E296" s="62"/>
      <c r="F296" s="83">
        <f t="shared" si="18"/>
        <v>293</v>
      </c>
      <c r="G296" s="84">
        <f t="shared" si="19"/>
        <v>8114.2199844205015</v>
      </c>
      <c r="H296" s="84">
        <f t="shared" si="20"/>
        <v>1114.1672052323931</v>
      </c>
      <c r="I296" s="84">
        <f t="shared" si="21"/>
        <v>7000.0527791881086</v>
      </c>
      <c r="J296" s="84">
        <f t="shared" si="22"/>
        <v>503800.2057323606</v>
      </c>
      <c r="K296" s="80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15.75" customHeight="1" x14ac:dyDescent="0.25">
      <c r="A297" s="62"/>
      <c r="B297" s="62"/>
      <c r="C297" s="76"/>
      <c r="D297" s="77"/>
      <c r="E297" s="62"/>
      <c r="F297" s="83">
        <f t="shared" si="18"/>
        <v>294</v>
      </c>
      <c r="G297" s="84">
        <f t="shared" si="19"/>
        <v>8114.2199844205015</v>
      </c>
      <c r="H297" s="84">
        <f t="shared" si="20"/>
        <v>1099.5837619424181</v>
      </c>
      <c r="I297" s="84">
        <f t="shared" si="21"/>
        <v>7014.6362224780833</v>
      </c>
      <c r="J297" s="84">
        <f t="shared" si="22"/>
        <v>496785.56950988254</v>
      </c>
      <c r="K297" s="80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15.75" customHeight="1" x14ac:dyDescent="0.25">
      <c r="A298" s="62"/>
      <c r="B298" s="62"/>
      <c r="C298" s="76"/>
      <c r="D298" s="77"/>
      <c r="E298" s="62"/>
      <c r="F298" s="83">
        <f t="shared" si="18"/>
        <v>295</v>
      </c>
      <c r="G298" s="84">
        <f t="shared" si="19"/>
        <v>8114.2199844205015</v>
      </c>
      <c r="H298" s="84">
        <f t="shared" si="20"/>
        <v>1084.9699364789219</v>
      </c>
      <c r="I298" s="84">
        <f t="shared" si="21"/>
        <v>7029.2500479415794</v>
      </c>
      <c r="J298" s="84">
        <f t="shared" si="22"/>
        <v>489756.31946194096</v>
      </c>
      <c r="K298" s="80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15.75" customHeight="1" x14ac:dyDescent="0.25">
      <c r="A299" s="62"/>
      <c r="B299" s="62"/>
      <c r="C299" s="76"/>
      <c r="D299" s="77"/>
      <c r="E299" s="62"/>
      <c r="F299" s="83">
        <f t="shared" si="18"/>
        <v>296</v>
      </c>
      <c r="G299" s="84">
        <f t="shared" si="19"/>
        <v>8114.2199844205015</v>
      </c>
      <c r="H299" s="84">
        <f t="shared" si="20"/>
        <v>1070.3256655457103</v>
      </c>
      <c r="I299" s="84">
        <f t="shared" si="21"/>
        <v>7043.8943188747908</v>
      </c>
      <c r="J299" s="84">
        <f t="shared" si="22"/>
        <v>482712.42514306615</v>
      </c>
      <c r="K299" s="80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15.75" customHeight="1" x14ac:dyDescent="0.25">
      <c r="A300" s="62"/>
      <c r="B300" s="62"/>
      <c r="C300" s="76"/>
      <c r="D300" s="77"/>
      <c r="E300" s="62"/>
      <c r="F300" s="83">
        <f t="shared" si="18"/>
        <v>297</v>
      </c>
      <c r="G300" s="84">
        <f t="shared" si="19"/>
        <v>8114.2199844205015</v>
      </c>
      <c r="H300" s="84">
        <f t="shared" si="20"/>
        <v>1055.6508857147214</v>
      </c>
      <c r="I300" s="84">
        <f t="shared" si="21"/>
        <v>7058.5690987057806</v>
      </c>
      <c r="J300" s="84">
        <f t="shared" si="22"/>
        <v>475653.85604436038</v>
      </c>
      <c r="K300" s="80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15.75" customHeight="1" x14ac:dyDescent="0.25">
      <c r="A301" s="62"/>
      <c r="B301" s="62"/>
      <c r="C301" s="76"/>
      <c r="D301" s="77"/>
      <c r="E301" s="62"/>
      <c r="F301" s="83">
        <f t="shared" si="18"/>
        <v>298</v>
      </c>
      <c r="G301" s="84">
        <f t="shared" si="19"/>
        <v>8114.2199844205015</v>
      </c>
      <c r="H301" s="84">
        <f t="shared" si="20"/>
        <v>1040.9455334257509</v>
      </c>
      <c r="I301" s="84">
        <f t="shared" si="21"/>
        <v>7073.2744509947506</v>
      </c>
      <c r="J301" s="84">
        <f t="shared" si="22"/>
        <v>468580.58159336564</v>
      </c>
      <c r="K301" s="80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15.75" customHeight="1" x14ac:dyDescent="0.25">
      <c r="A302" s="62"/>
      <c r="B302" s="62"/>
      <c r="C302" s="76"/>
      <c r="D302" s="77"/>
      <c r="E302" s="62"/>
      <c r="F302" s="83">
        <f t="shared" si="18"/>
        <v>299</v>
      </c>
      <c r="G302" s="84">
        <f t="shared" si="19"/>
        <v>8114.2199844205015</v>
      </c>
      <c r="H302" s="84">
        <f t="shared" si="20"/>
        <v>1026.2095449861786</v>
      </c>
      <c r="I302" s="84">
        <f t="shared" si="21"/>
        <v>7088.0104394343234</v>
      </c>
      <c r="J302" s="84">
        <f t="shared" si="22"/>
        <v>461492.57115393132</v>
      </c>
      <c r="K302" s="80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15.75" customHeight="1" x14ac:dyDescent="0.25">
      <c r="A303" s="62"/>
      <c r="B303" s="62"/>
      <c r="C303" s="76"/>
      <c r="D303" s="77"/>
      <c r="E303" s="62"/>
      <c r="F303" s="83">
        <f t="shared" si="18"/>
        <v>300</v>
      </c>
      <c r="G303" s="84">
        <f t="shared" si="19"/>
        <v>8114.2199844205015</v>
      </c>
      <c r="H303" s="84">
        <f t="shared" si="20"/>
        <v>1011.4428565706903</v>
      </c>
      <c r="I303" s="84">
        <f t="shared" si="21"/>
        <v>7102.7771278498112</v>
      </c>
      <c r="J303" s="84">
        <f t="shared" si="22"/>
        <v>454389.79402608151</v>
      </c>
      <c r="K303" s="80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15.75" customHeight="1" x14ac:dyDescent="0.25">
      <c r="A304" s="62"/>
      <c r="B304" s="62"/>
      <c r="C304" s="76"/>
      <c r="D304" s="77"/>
      <c r="E304" s="62"/>
      <c r="F304" s="83">
        <f t="shared" si="18"/>
        <v>301</v>
      </c>
      <c r="G304" s="84">
        <f t="shared" si="19"/>
        <v>8114.2199844205015</v>
      </c>
      <c r="H304" s="84">
        <f t="shared" si="20"/>
        <v>996.6454042210031</v>
      </c>
      <c r="I304" s="84">
        <f t="shared" si="21"/>
        <v>7117.5745801994981</v>
      </c>
      <c r="J304" s="84">
        <f t="shared" si="22"/>
        <v>447272.21944588202</v>
      </c>
      <c r="K304" s="80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15.75" customHeight="1" x14ac:dyDescent="0.25">
      <c r="A305" s="62"/>
      <c r="B305" s="62"/>
      <c r="C305" s="76"/>
      <c r="D305" s="77"/>
      <c r="E305" s="62"/>
      <c r="F305" s="83">
        <f t="shared" si="18"/>
        <v>302</v>
      </c>
      <c r="G305" s="84">
        <f t="shared" si="19"/>
        <v>8114.2199844205015</v>
      </c>
      <c r="H305" s="84">
        <f t="shared" si="20"/>
        <v>981.81712384558762</v>
      </c>
      <c r="I305" s="84">
        <f t="shared" si="21"/>
        <v>7132.4028605749136</v>
      </c>
      <c r="J305" s="84">
        <f t="shared" si="22"/>
        <v>440139.81658530713</v>
      </c>
      <c r="K305" s="80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15.75" customHeight="1" x14ac:dyDescent="0.25">
      <c r="A306" s="62"/>
      <c r="B306" s="62"/>
      <c r="C306" s="76"/>
      <c r="D306" s="77"/>
      <c r="E306" s="62"/>
      <c r="F306" s="83">
        <f t="shared" si="18"/>
        <v>303</v>
      </c>
      <c r="G306" s="84">
        <f t="shared" si="19"/>
        <v>8114.2199844205015</v>
      </c>
      <c r="H306" s="84">
        <f t="shared" si="20"/>
        <v>966.95795121938988</v>
      </c>
      <c r="I306" s="84">
        <f t="shared" si="21"/>
        <v>7147.262033201112</v>
      </c>
      <c r="J306" s="84">
        <f t="shared" si="22"/>
        <v>432992.55455210601</v>
      </c>
      <c r="K306" s="80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15.75" customHeight="1" x14ac:dyDescent="0.25">
      <c r="A307" s="62"/>
      <c r="B307" s="62"/>
      <c r="C307" s="76"/>
      <c r="D307" s="77"/>
      <c r="E307" s="62"/>
      <c r="F307" s="83">
        <f t="shared" si="18"/>
        <v>304</v>
      </c>
      <c r="G307" s="84">
        <f t="shared" si="19"/>
        <v>8114.2199844205015</v>
      </c>
      <c r="H307" s="84">
        <f t="shared" si="20"/>
        <v>952.06782198355415</v>
      </c>
      <c r="I307" s="84">
        <f t="shared" si="21"/>
        <v>7162.152162436947</v>
      </c>
      <c r="J307" s="84">
        <f t="shared" si="22"/>
        <v>425830.40238966909</v>
      </c>
      <c r="K307" s="80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15.75" customHeight="1" x14ac:dyDescent="0.25">
      <c r="A308" s="62"/>
      <c r="B308" s="62"/>
      <c r="C308" s="76"/>
      <c r="D308" s="77"/>
      <c r="E308" s="62"/>
      <c r="F308" s="83">
        <f t="shared" si="18"/>
        <v>305</v>
      </c>
      <c r="G308" s="84">
        <f t="shared" si="19"/>
        <v>8114.2199844205015</v>
      </c>
      <c r="H308" s="84">
        <f t="shared" si="20"/>
        <v>937.14667164514401</v>
      </c>
      <c r="I308" s="84">
        <f t="shared" si="21"/>
        <v>7177.0733127753574</v>
      </c>
      <c r="J308" s="84">
        <f t="shared" si="22"/>
        <v>418653.32907689374</v>
      </c>
      <c r="K308" s="80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15.75" customHeight="1" x14ac:dyDescent="0.25">
      <c r="A309" s="62"/>
      <c r="B309" s="62"/>
      <c r="C309" s="76"/>
      <c r="D309" s="77"/>
      <c r="E309" s="62"/>
      <c r="F309" s="83">
        <f t="shared" si="18"/>
        <v>306</v>
      </c>
      <c r="G309" s="84">
        <f t="shared" si="19"/>
        <v>8114.2199844205015</v>
      </c>
      <c r="H309" s="84">
        <f t="shared" si="20"/>
        <v>922.19443557686202</v>
      </c>
      <c r="I309" s="84">
        <f t="shared" si="21"/>
        <v>7192.0255488436396</v>
      </c>
      <c r="J309" s="84">
        <f t="shared" si="22"/>
        <v>411461.30352805008</v>
      </c>
      <c r="K309" s="80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15.75" customHeight="1" x14ac:dyDescent="0.25">
      <c r="A310" s="62"/>
      <c r="B310" s="62"/>
      <c r="C310" s="76"/>
      <c r="D310" s="77"/>
      <c r="E310" s="62"/>
      <c r="F310" s="83">
        <f t="shared" si="18"/>
        <v>307</v>
      </c>
      <c r="G310" s="84">
        <f t="shared" si="19"/>
        <v>8114.2199844205015</v>
      </c>
      <c r="H310" s="84">
        <f t="shared" si="20"/>
        <v>907.21104901677109</v>
      </c>
      <c r="I310" s="84">
        <f t="shared" si="21"/>
        <v>7207.00893540373</v>
      </c>
      <c r="J310" s="84">
        <f t="shared" si="22"/>
        <v>404254.29459264636</v>
      </c>
      <c r="K310" s="80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15.75" customHeight="1" x14ac:dyDescent="0.25">
      <c r="A311" s="62"/>
      <c r="B311" s="62"/>
      <c r="C311" s="76"/>
      <c r="D311" s="77"/>
      <c r="E311" s="62"/>
      <c r="F311" s="83">
        <f t="shared" si="18"/>
        <v>308</v>
      </c>
      <c r="G311" s="84">
        <f t="shared" si="19"/>
        <v>8114.2199844205015</v>
      </c>
      <c r="H311" s="84">
        <f t="shared" si="20"/>
        <v>892.1964470680133</v>
      </c>
      <c r="I311" s="84">
        <f t="shared" si="21"/>
        <v>7222.0235373524883</v>
      </c>
      <c r="J311" s="84">
        <f t="shared" si="22"/>
        <v>397032.27105529385</v>
      </c>
      <c r="K311" s="80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15.75" customHeight="1" x14ac:dyDescent="0.25">
      <c r="A312" s="62"/>
      <c r="B312" s="62"/>
      <c r="C312" s="76"/>
      <c r="D312" s="77"/>
      <c r="E312" s="62"/>
      <c r="F312" s="83">
        <f t="shared" si="18"/>
        <v>309</v>
      </c>
      <c r="G312" s="84">
        <f t="shared" si="19"/>
        <v>8114.2199844205015</v>
      </c>
      <c r="H312" s="84">
        <f t="shared" si="20"/>
        <v>877.15056469852891</v>
      </c>
      <c r="I312" s="84">
        <f t="shared" si="21"/>
        <v>7237.0694197219727</v>
      </c>
      <c r="J312" s="84">
        <f t="shared" si="22"/>
        <v>389795.2016355719</v>
      </c>
      <c r="K312" s="80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15.75" customHeight="1" x14ac:dyDescent="0.25">
      <c r="A313" s="62"/>
      <c r="B313" s="62"/>
      <c r="C313" s="76"/>
      <c r="D313" s="77"/>
      <c r="E313" s="62"/>
      <c r="F313" s="83">
        <f t="shared" si="18"/>
        <v>310</v>
      </c>
      <c r="G313" s="84">
        <f t="shared" si="19"/>
        <v>8114.2199844205015</v>
      </c>
      <c r="H313" s="84">
        <f t="shared" si="20"/>
        <v>862.07333674077483</v>
      </c>
      <c r="I313" s="84">
        <f t="shared" si="21"/>
        <v>7252.1466476797268</v>
      </c>
      <c r="J313" s="84">
        <f t="shared" si="22"/>
        <v>382543.05498789216</v>
      </c>
      <c r="K313" s="80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15.75" customHeight="1" x14ac:dyDescent="0.25">
      <c r="A314" s="62"/>
      <c r="B314" s="62"/>
      <c r="C314" s="76"/>
      <c r="D314" s="77"/>
      <c r="E314" s="62"/>
      <c r="F314" s="83">
        <f t="shared" si="18"/>
        <v>311</v>
      </c>
      <c r="G314" s="84">
        <f t="shared" si="19"/>
        <v>8114.2199844205015</v>
      </c>
      <c r="H314" s="84">
        <f t="shared" si="20"/>
        <v>846.96469789144203</v>
      </c>
      <c r="I314" s="84">
        <f t="shared" si="21"/>
        <v>7267.25528652906</v>
      </c>
      <c r="J314" s="84">
        <f t="shared" si="22"/>
        <v>375275.79970136308</v>
      </c>
      <c r="K314" s="80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15.75" customHeight="1" x14ac:dyDescent="0.25">
      <c r="A315" s="62"/>
      <c r="B315" s="62"/>
      <c r="C315" s="76"/>
      <c r="D315" s="77"/>
      <c r="E315" s="62"/>
      <c r="F315" s="83">
        <f t="shared" si="18"/>
        <v>312</v>
      </c>
      <c r="G315" s="84">
        <f t="shared" si="19"/>
        <v>8114.2199844205015</v>
      </c>
      <c r="H315" s="84">
        <f t="shared" si="20"/>
        <v>831.82458271117309</v>
      </c>
      <c r="I315" s="84">
        <f t="shared" si="21"/>
        <v>7282.3954017093283</v>
      </c>
      <c r="J315" s="84">
        <f t="shared" si="22"/>
        <v>367993.40429965378</v>
      </c>
      <c r="K315" s="80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15.75" customHeight="1" x14ac:dyDescent="0.25">
      <c r="A316" s="62"/>
      <c r="B316" s="62"/>
      <c r="C316" s="76"/>
      <c r="D316" s="77"/>
      <c r="E316" s="62"/>
      <c r="F316" s="83">
        <f t="shared" si="18"/>
        <v>313</v>
      </c>
      <c r="G316" s="84">
        <f t="shared" si="19"/>
        <v>8114.2199844205015</v>
      </c>
      <c r="H316" s="84">
        <f t="shared" si="20"/>
        <v>816.65292562427874</v>
      </c>
      <c r="I316" s="84">
        <f t="shared" si="21"/>
        <v>7297.5670587962231</v>
      </c>
      <c r="J316" s="84">
        <f t="shared" si="22"/>
        <v>360695.83724085754</v>
      </c>
      <c r="K316" s="80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15.75" customHeight="1" x14ac:dyDescent="0.25">
      <c r="A317" s="62"/>
      <c r="B317" s="62"/>
      <c r="C317" s="76"/>
      <c r="D317" s="77"/>
      <c r="E317" s="62"/>
      <c r="F317" s="83">
        <f t="shared" si="18"/>
        <v>314</v>
      </c>
      <c r="G317" s="84">
        <f t="shared" si="19"/>
        <v>8114.2199844205015</v>
      </c>
      <c r="H317" s="84">
        <f t="shared" si="20"/>
        <v>801.44966091845333</v>
      </c>
      <c r="I317" s="84">
        <f t="shared" si="21"/>
        <v>7312.7703235020481</v>
      </c>
      <c r="J317" s="84">
        <f t="shared" si="22"/>
        <v>353383.06691735546</v>
      </c>
      <c r="K317" s="80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15.75" customHeight="1" x14ac:dyDescent="0.25">
      <c r="A318" s="62"/>
      <c r="B318" s="62"/>
      <c r="C318" s="76"/>
      <c r="D318" s="77"/>
      <c r="E318" s="62"/>
      <c r="F318" s="83">
        <f t="shared" si="18"/>
        <v>315</v>
      </c>
      <c r="G318" s="84">
        <f t="shared" si="19"/>
        <v>8114.2199844205015</v>
      </c>
      <c r="H318" s="84">
        <f t="shared" si="20"/>
        <v>786.21472274449059</v>
      </c>
      <c r="I318" s="84">
        <f t="shared" si="21"/>
        <v>7328.0052616760113</v>
      </c>
      <c r="J318" s="84">
        <f t="shared" si="22"/>
        <v>346055.06165567943</v>
      </c>
      <c r="K318" s="80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15.75" customHeight="1" x14ac:dyDescent="0.25">
      <c r="A319" s="62"/>
      <c r="B319" s="62"/>
      <c r="C319" s="76"/>
      <c r="D319" s="77"/>
      <c r="E319" s="62"/>
      <c r="F319" s="83">
        <f t="shared" si="18"/>
        <v>316</v>
      </c>
      <c r="G319" s="84">
        <f t="shared" si="19"/>
        <v>8114.2199844205015</v>
      </c>
      <c r="H319" s="84">
        <f t="shared" si="20"/>
        <v>770.94804511599887</v>
      </c>
      <c r="I319" s="84">
        <f t="shared" si="21"/>
        <v>7343.2719393045027</v>
      </c>
      <c r="J319" s="84">
        <f t="shared" si="22"/>
        <v>338711.78971637494</v>
      </c>
      <c r="K319" s="80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15.75" customHeight="1" x14ac:dyDescent="0.25">
      <c r="A320" s="62"/>
      <c r="B320" s="62"/>
      <c r="C320" s="76"/>
      <c r="D320" s="77"/>
      <c r="E320" s="62"/>
      <c r="F320" s="83">
        <f t="shared" si="18"/>
        <v>317</v>
      </c>
      <c r="G320" s="84">
        <f t="shared" si="19"/>
        <v>8114.2199844205015</v>
      </c>
      <c r="H320" s="84">
        <f t="shared" si="20"/>
        <v>755.6495619091146</v>
      </c>
      <c r="I320" s="84">
        <f t="shared" si="21"/>
        <v>7358.5704225113868</v>
      </c>
      <c r="J320" s="84">
        <f t="shared" si="22"/>
        <v>331353.21929386357</v>
      </c>
      <c r="K320" s="80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15.75" customHeight="1" x14ac:dyDescent="0.25">
      <c r="A321" s="62"/>
      <c r="B321" s="62"/>
      <c r="C321" s="76"/>
      <c r="D321" s="77"/>
      <c r="E321" s="62"/>
      <c r="F321" s="83">
        <f t="shared" si="18"/>
        <v>318</v>
      </c>
      <c r="G321" s="84">
        <f t="shared" si="19"/>
        <v>8114.2199844205015</v>
      </c>
      <c r="H321" s="84">
        <f t="shared" si="20"/>
        <v>740.31920686221576</v>
      </c>
      <c r="I321" s="84">
        <f t="shared" si="21"/>
        <v>7373.9007775582859</v>
      </c>
      <c r="J321" s="84">
        <f t="shared" si="22"/>
        <v>323979.3185163053</v>
      </c>
      <c r="K321" s="80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15.75" customHeight="1" x14ac:dyDescent="0.25">
      <c r="A322" s="62"/>
      <c r="B322" s="62"/>
      <c r="C322" s="76"/>
      <c r="D322" s="77"/>
      <c r="E322" s="62"/>
      <c r="F322" s="83">
        <f t="shared" si="18"/>
        <v>319</v>
      </c>
      <c r="G322" s="84">
        <f t="shared" si="19"/>
        <v>8114.2199844205015</v>
      </c>
      <c r="H322" s="84">
        <f t="shared" si="20"/>
        <v>724.95691357563612</v>
      </c>
      <c r="I322" s="84">
        <f t="shared" si="21"/>
        <v>7389.2630708448651</v>
      </c>
      <c r="J322" s="84">
        <f t="shared" si="22"/>
        <v>316590.05544546043</v>
      </c>
      <c r="K322" s="80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15.75" customHeight="1" x14ac:dyDescent="0.25">
      <c r="A323" s="62"/>
      <c r="B323" s="62"/>
      <c r="C323" s="76"/>
      <c r="D323" s="77"/>
      <c r="E323" s="62"/>
      <c r="F323" s="83">
        <f t="shared" si="18"/>
        <v>320</v>
      </c>
      <c r="G323" s="84">
        <f t="shared" si="19"/>
        <v>8114.2199844205015</v>
      </c>
      <c r="H323" s="84">
        <f t="shared" si="20"/>
        <v>709.56261551137595</v>
      </c>
      <c r="I323" s="84">
        <f t="shared" si="21"/>
        <v>7404.6573689091256</v>
      </c>
      <c r="J323" s="84">
        <f t="shared" si="22"/>
        <v>309185.39807655133</v>
      </c>
      <c r="K323" s="80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15.75" customHeight="1" x14ac:dyDescent="0.25">
      <c r="A324" s="62"/>
      <c r="B324" s="62"/>
      <c r="C324" s="76"/>
      <c r="D324" s="77"/>
      <c r="E324" s="62"/>
      <c r="F324" s="83">
        <f t="shared" si="18"/>
        <v>321</v>
      </c>
      <c r="G324" s="84">
        <f t="shared" si="19"/>
        <v>8114.2199844205015</v>
      </c>
      <c r="H324" s="84">
        <f t="shared" si="20"/>
        <v>694.13624599281536</v>
      </c>
      <c r="I324" s="84">
        <f t="shared" si="21"/>
        <v>7420.0837384276865</v>
      </c>
      <c r="J324" s="84">
        <f t="shared" si="22"/>
        <v>301765.31433812366</v>
      </c>
      <c r="K324" s="80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15.75" customHeight="1" x14ac:dyDescent="0.25">
      <c r="A325" s="62"/>
      <c r="B325" s="62"/>
      <c r="C325" s="76"/>
      <c r="D325" s="77"/>
      <c r="E325" s="62"/>
      <c r="F325" s="83">
        <f t="shared" si="18"/>
        <v>322</v>
      </c>
      <c r="G325" s="84">
        <f t="shared" si="19"/>
        <v>8114.2199844205015</v>
      </c>
      <c r="H325" s="84">
        <f t="shared" si="20"/>
        <v>678.67773820442437</v>
      </c>
      <c r="I325" s="84">
        <f t="shared" si="21"/>
        <v>7435.5422462160768</v>
      </c>
      <c r="J325" s="84">
        <f t="shared" si="22"/>
        <v>294329.77209190757</v>
      </c>
      <c r="K325" s="80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15.75" customHeight="1" x14ac:dyDescent="0.25">
      <c r="A326" s="62"/>
      <c r="B326" s="62"/>
      <c r="C326" s="76"/>
      <c r="D326" s="77"/>
      <c r="E326" s="62"/>
      <c r="F326" s="83">
        <f t="shared" si="18"/>
        <v>323</v>
      </c>
      <c r="G326" s="84">
        <f t="shared" si="19"/>
        <v>8114.2199844205015</v>
      </c>
      <c r="H326" s="84">
        <f t="shared" si="20"/>
        <v>663.18702519147416</v>
      </c>
      <c r="I326" s="84">
        <f t="shared" si="21"/>
        <v>7451.0329592290273</v>
      </c>
      <c r="J326" s="84">
        <f t="shared" si="22"/>
        <v>286878.73913267854</v>
      </c>
      <c r="K326" s="80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15.75" customHeight="1" x14ac:dyDescent="0.25">
      <c r="A327" s="62"/>
      <c r="B327" s="62"/>
      <c r="C327" s="76"/>
      <c r="D327" s="77"/>
      <c r="E327" s="62"/>
      <c r="F327" s="83">
        <f t="shared" si="18"/>
        <v>324</v>
      </c>
      <c r="G327" s="84">
        <f t="shared" si="19"/>
        <v>8114.2199844205015</v>
      </c>
      <c r="H327" s="84">
        <f t="shared" si="20"/>
        <v>647.66403985974705</v>
      </c>
      <c r="I327" s="84">
        <f t="shared" si="21"/>
        <v>7466.5559445607541</v>
      </c>
      <c r="J327" s="84">
        <f t="shared" si="22"/>
        <v>279412.18318811781</v>
      </c>
      <c r="K327" s="80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15.75" customHeight="1" x14ac:dyDescent="0.25">
      <c r="A328" s="62"/>
      <c r="B328" s="62"/>
      <c r="C328" s="76"/>
      <c r="D328" s="77"/>
      <c r="E328" s="62"/>
      <c r="F328" s="83">
        <f t="shared" si="18"/>
        <v>325</v>
      </c>
      <c r="G328" s="84">
        <f t="shared" si="19"/>
        <v>8114.2199844205015</v>
      </c>
      <c r="H328" s="84">
        <f t="shared" si="20"/>
        <v>632.10871497524545</v>
      </c>
      <c r="I328" s="84">
        <f t="shared" si="21"/>
        <v>7482.1112694452559</v>
      </c>
      <c r="J328" s="84">
        <f t="shared" si="22"/>
        <v>271930.07191867253</v>
      </c>
      <c r="K328" s="80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15.75" customHeight="1" x14ac:dyDescent="0.25">
      <c r="A329" s="62"/>
      <c r="B329" s="62"/>
      <c r="C329" s="76"/>
      <c r="D329" s="77"/>
      <c r="E329" s="62"/>
      <c r="F329" s="83">
        <f t="shared" si="18"/>
        <v>326</v>
      </c>
      <c r="G329" s="84">
        <f t="shared" si="19"/>
        <v>8114.2199844205015</v>
      </c>
      <c r="H329" s="84">
        <f t="shared" si="20"/>
        <v>616.52098316390118</v>
      </c>
      <c r="I329" s="84">
        <f t="shared" si="21"/>
        <v>7497.6990012566002</v>
      </c>
      <c r="J329" s="84">
        <f t="shared" si="22"/>
        <v>264432.37291741592</v>
      </c>
      <c r="K329" s="80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15.75" customHeight="1" x14ac:dyDescent="0.25">
      <c r="A330" s="62"/>
      <c r="B330" s="62"/>
      <c r="C330" s="76"/>
      <c r="D330" s="77"/>
      <c r="E330" s="62"/>
      <c r="F330" s="83">
        <f t="shared" si="18"/>
        <v>327</v>
      </c>
      <c r="G330" s="84">
        <f t="shared" si="19"/>
        <v>8114.2199844205015</v>
      </c>
      <c r="H330" s="84">
        <f t="shared" si="20"/>
        <v>600.90077691128317</v>
      </c>
      <c r="I330" s="84">
        <f t="shared" si="21"/>
        <v>7513.3192075092184</v>
      </c>
      <c r="J330" s="84">
        <f t="shared" si="22"/>
        <v>256919.0537099067</v>
      </c>
      <c r="K330" s="80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15.75" customHeight="1" x14ac:dyDescent="0.25">
      <c r="A331" s="62"/>
      <c r="B331" s="62"/>
      <c r="C331" s="76"/>
      <c r="D331" s="77"/>
      <c r="E331" s="62"/>
      <c r="F331" s="83">
        <f t="shared" si="18"/>
        <v>328</v>
      </c>
      <c r="G331" s="84">
        <f t="shared" si="19"/>
        <v>8114.2199844205015</v>
      </c>
      <c r="H331" s="84">
        <f t="shared" si="20"/>
        <v>585.24802856230565</v>
      </c>
      <c r="I331" s="84">
        <f t="shared" si="21"/>
        <v>7528.9719558581955</v>
      </c>
      <c r="J331" s="84">
        <f t="shared" si="22"/>
        <v>249390.0817540485</v>
      </c>
      <c r="K331" s="80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15.75" customHeight="1" x14ac:dyDescent="0.25">
      <c r="A332" s="62"/>
      <c r="B332" s="62"/>
      <c r="C332" s="76"/>
      <c r="D332" s="77"/>
      <c r="E332" s="62"/>
      <c r="F332" s="83">
        <f t="shared" si="18"/>
        <v>329</v>
      </c>
      <c r="G332" s="84">
        <f t="shared" si="19"/>
        <v>8114.2199844205015</v>
      </c>
      <c r="H332" s="84">
        <f t="shared" si="20"/>
        <v>569.56267032093444</v>
      </c>
      <c r="I332" s="84">
        <f t="shared" si="21"/>
        <v>7544.657314099567</v>
      </c>
      <c r="J332" s="84">
        <f t="shared" si="22"/>
        <v>241845.42443994893</v>
      </c>
      <c r="K332" s="80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15.75" customHeight="1" x14ac:dyDescent="0.25">
      <c r="A333" s="62"/>
      <c r="B333" s="62"/>
      <c r="C333" s="76"/>
      <c r="D333" s="77"/>
      <c r="E333" s="62"/>
      <c r="F333" s="83">
        <f t="shared" si="18"/>
        <v>330</v>
      </c>
      <c r="G333" s="84">
        <f t="shared" si="19"/>
        <v>8114.2199844205015</v>
      </c>
      <c r="H333" s="84">
        <f t="shared" si="20"/>
        <v>553.84463424989372</v>
      </c>
      <c r="I333" s="84">
        <f t="shared" si="21"/>
        <v>7560.3753501706078</v>
      </c>
      <c r="J333" s="84">
        <f t="shared" si="22"/>
        <v>234285.04908977833</v>
      </c>
      <c r="K333" s="80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15.75" customHeight="1" x14ac:dyDescent="0.25">
      <c r="A334" s="62"/>
      <c r="B334" s="62"/>
      <c r="C334" s="76"/>
      <c r="D334" s="77"/>
      <c r="E334" s="62"/>
      <c r="F334" s="83">
        <f t="shared" si="18"/>
        <v>331</v>
      </c>
      <c r="G334" s="84">
        <f t="shared" si="19"/>
        <v>8114.2199844205015</v>
      </c>
      <c r="H334" s="84">
        <f t="shared" si="20"/>
        <v>538.0938522703716</v>
      </c>
      <c r="I334" s="84">
        <f t="shared" si="21"/>
        <v>7576.1261321501297</v>
      </c>
      <c r="J334" s="84">
        <f t="shared" si="22"/>
        <v>226708.92295762821</v>
      </c>
      <c r="K334" s="80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15.75" customHeight="1" x14ac:dyDescent="0.25">
      <c r="A335" s="62"/>
      <c r="B335" s="62"/>
      <c r="C335" s="76"/>
      <c r="D335" s="77"/>
      <c r="E335" s="62"/>
      <c r="F335" s="83">
        <f t="shared" si="18"/>
        <v>332</v>
      </c>
      <c r="G335" s="84">
        <f t="shared" si="19"/>
        <v>8114.2199844205015</v>
      </c>
      <c r="H335" s="84">
        <f t="shared" si="20"/>
        <v>522.31025616172542</v>
      </c>
      <c r="I335" s="84">
        <f t="shared" si="21"/>
        <v>7591.9097282587763</v>
      </c>
      <c r="J335" s="84">
        <f t="shared" si="22"/>
        <v>219117.01322936942</v>
      </c>
      <c r="K335" s="80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15.75" customHeight="1" x14ac:dyDescent="0.25">
      <c r="A336" s="62"/>
      <c r="B336" s="62"/>
      <c r="C336" s="76"/>
      <c r="D336" s="77"/>
      <c r="E336" s="62"/>
      <c r="F336" s="83">
        <f t="shared" si="18"/>
        <v>333</v>
      </c>
      <c r="G336" s="84">
        <f t="shared" si="19"/>
        <v>8114.2199844205015</v>
      </c>
      <c r="H336" s="84">
        <f t="shared" si="20"/>
        <v>506.49377756118633</v>
      </c>
      <c r="I336" s="84">
        <f t="shared" si="21"/>
        <v>7607.7262068593154</v>
      </c>
      <c r="J336" s="84">
        <f t="shared" si="22"/>
        <v>211509.28702251011</v>
      </c>
      <c r="K336" s="80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15.75" customHeight="1" x14ac:dyDescent="0.25">
      <c r="A337" s="62"/>
      <c r="B337" s="62"/>
      <c r="C337" s="76"/>
      <c r="D337" s="77"/>
      <c r="E337" s="62"/>
      <c r="F337" s="83">
        <f t="shared" si="18"/>
        <v>334</v>
      </c>
      <c r="G337" s="84">
        <f t="shared" si="19"/>
        <v>8114.2199844205015</v>
      </c>
      <c r="H337" s="84">
        <f t="shared" si="20"/>
        <v>490.64434796356272</v>
      </c>
      <c r="I337" s="84">
        <f t="shared" si="21"/>
        <v>7623.5756364569388</v>
      </c>
      <c r="J337" s="84">
        <f t="shared" si="22"/>
        <v>203885.71138605318</v>
      </c>
      <c r="K337" s="80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15.75" customHeight="1" x14ac:dyDescent="0.25">
      <c r="A338" s="62"/>
      <c r="B338" s="62"/>
      <c r="C338" s="76"/>
      <c r="D338" s="77"/>
      <c r="E338" s="62"/>
      <c r="F338" s="83">
        <f t="shared" si="18"/>
        <v>335</v>
      </c>
      <c r="G338" s="84">
        <f t="shared" si="19"/>
        <v>8114.2199844205015</v>
      </c>
      <c r="H338" s="84">
        <f t="shared" si="20"/>
        <v>474.76189872094415</v>
      </c>
      <c r="I338" s="84">
        <f t="shared" si="21"/>
        <v>7639.4580856995572</v>
      </c>
      <c r="J338" s="84">
        <f t="shared" si="22"/>
        <v>196246.25330035362</v>
      </c>
      <c r="K338" s="80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15.75" customHeight="1" x14ac:dyDescent="0.25">
      <c r="A339" s="62"/>
      <c r="B339" s="62"/>
      <c r="C339" s="76"/>
      <c r="D339" s="77"/>
      <c r="E339" s="62"/>
      <c r="F339" s="83">
        <f t="shared" si="18"/>
        <v>336</v>
      </c>
      <c r="G339" s="84">
        <f t="shared" si="19"/>
        <v>8114.2199844205015</v>
      </c>
      <c r="H339" s="84">
        <f t="shared" si="20"/>
        <v>458.84636104240343</v>
      </c>
      <c r="I339" s="84">
        <f t="shared" si="21"/>
        <v>7655.3736233780983</v>
      </c>
      <c r="J339" s="84">
        <f t="shared" si="22"/>
        <v>188590.87967697551</v>
      </c>
      <c r="K339" s="80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15.75" customHeight="1" x14ac:dyDescent="0.25">
      <c r="A340" s="62"/>
      <c r="B340" s="62"/>
      <c r="C340" s="76"/>
      <c r="D340" s="77"/>
      <c r="E340" s="62"/>
      <c r="F340" s="83">
        <f t="shared" si="18"/>
        <v>337</v>
      </c>
      <c r="G340" s="84">
        <f t="shared" si="19"/>
        <v>8114.2199844205015</v>
      </c>
      <c r="H340" s="84">
        <f t="shared" si="20"/>
        <v>442.89766599369904</v>
      </c>
      <c r="I340" s="84">
        <f t="shared" si="21"/>
        <v>7671.3223184268027</v>
      </c>
      <c r="J340" s="84">
        <f t="shared" si="22"/>
        <v>180919.55735854871</v>
      </c>
      <c r="K340" s="80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15.75" customHeight="1" x14ac:dyDescent="0.25">
      <c r="A341" s="62"/>
      <c r="B341" s="62"/>
      <c r="C341" s="76"/>
      <c r="D341" s="77"/>
      <c r="E341" s="62"/>
      <c r="F341" s="83">
        <f t="shared" si="18"/>
        <v>338</v>
      </c>
      <c r="G341" s="84">
        <f t="shared" si="19"/>
        <v>8114.2199844205015</v>
      </c>
      <c r="H341" s="84">
        <f t="shared" si="20"/>
        <v>426.91574449697652</v>
      </c>
      <c r="I341" s="84">
        <f t="shared" si="21"/>
        <v>7687.3042399235246</v>
      </c>
      <c r="J341" s="84">
        <f t="shared" si="22"/>
        <v>173232.2531186252</v>
      </c>
      <c r="K341" s="80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15.75" customHeight="1" x14ac:dyDescent="0.25">
      <c r="A342" s="62"/>
      <c r="B342" s="62"/>
      <c r="C342" s="76"/>
      <c r="D342" s="77"/>
      <c r="E342" s="62"/>
      <c r="F342" s="83">
        <f t="shared" si="18"/>
        <v>339</v>
      </c>
      <c r="G342" s="84">
        <f t="shared" si="19"/>
        <v>8114.2199844205015</v>
      </c>
      <c r="H342" s="84">
        <f t="shared" si="20"/>
        <v>410.90052733046917</v>
      </c>
      <c r="I342" s="84">
        <f t="shared" si="21"/>
        <v>7703.3194570900323</v>
      </c>
      <c r="J342" s="84">
        <f t="shared" si="22"/>
        <v>165528.93366153518</v>
      </c>
      <c r="K342" s="80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15.75" customHeight="1" x14ac:dyDescent="0.25">
      <c r="A343" s="62"/>
      <c r="B343" s="62"/>
      <c r="C343" s="76"/>
      <c r="D343" s="77"/>
      <c r="E343" s="62"/>
      <c r="F343" s="83">
        <f t="shared" si="18"/>
        <v>340</v>
      </c>
      <c r="G343" s="84">
        <f t="shared" si="19"/>
        <v>8114.2199844205015</v>
      </c>
      <c r="H343" s="84">
        <f t="shared" si="20"/>
        <v>394.85194512819834</v>
      </c>
      <c r="I343" s="84">
        <f t="shared" si="21"/>
        <v>7719.3680392923034</v>
      </c>
      <c r="J343" s="84">
        <f t="shared" si="22"/>
        <v>157809.56562224287</v>
      </c>
      <c r="K343" s="80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15.75" customHeight="1" x14ac:dyDescent="0.25">
      <c r="A344" s="62"/>
      <c r="B344" s="62"/>
      <c r="C344" s="76"/>
      <c r="D344" s="77"/>
      <c r="E344" s="62"/>
      <c r="F344" s="83">
        <f t="shared" si="18"/>
        <v>341</v>
      </c>
      <c r="G344" s="84">
        <f t="shared" si="19"/>
        <v>8114.2199844205015</v>
      </c>
      <c r="H344" s="84">
        <f t="shared" si="20"/>
        <v>378.76992837967265</v>
      </c>
      <c r="I344" s="84">
        <f t="shared" si="21"/>
        <v>7735.4500560408287</v>
      </c>
      <c r="J344" s="84">
        <f t="shared" si="22"/>
        <v>150074.11556620203</v>
      </c>
      <c r="K344" s="80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15.75" customHeight="1" x14ac:dyDescent="0.25">
      <c r="A345" s="62"/>
      <c r="B345" s="62"/>
      <c r="C345" s="76"/>
      <c r="D345" s="77"/>
      <c r="E345" s="62"/>
      <c r="F345" s="83">
        <f t="shared" si="18"/>
        <v>342</v>
      </c>
      <c r="G345" s="84">
        <f t="shared" si="19"/>
        <v>8114.2199844205015</v>
      </c>
      <c r="H345" s="84">
        <f t="shared" si="20"/>
        <v>362.65440742958759</v>
      </c>
      <c r="I345" s="84">
        <f t="shared" si="21"/>
        <v>7751.5655769909135</v>
      </c>
      <c r="J345" s="84">
        <f t="shared" si="22"/>
        <v>142322.54998921111</v>
      </c>
      <c r="K345" s="80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15.75" customHeight="1" x14ac:dyDescent="0.25">
      <c r="A346" s="62"/>
      <c r="B346" s="62"/>
      <c r="C346" s="76"/>
      <c r="D346" s="77"/>
      <c r="E346" s="62"/>
      <c r="F346" s="83">
        <f t="shared" si="18"/>
        <v>343</v>
      </c>
      <c r="G346" s="84">
        <f t="shared" si="19"/>
        <v>8114.2199844205015</v>
      </c>
      <c r="H346" s="84">
        <f t="shared" si="20"/>
        <v>346.50531247752315</v>
      </c>
      <c r="I346" s="84">
        <f t="shared" si="21"/>
        <v>7767.7146719429784</v>
      </c>
      <c r="J346" s="84">
        <f t="shared" si="22"/>
        <v>134554.83531726812</v>
      </c>
      <c r="K346" s="80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15.75" customHeight="1" x14ac:dyDescent="0.25">
      <c r="A347" s="62"/>
      <c r="B347" s="62"/>
      <c r="C347" s="76"/>
      <c r="D347" s="77"/>
      <c r="E347" s="62"/>
      <c r="F347" s="83">
        <f t="shared" si="18"/>
        <v>344</v>
      </c>
      <c r="G347" s="84">
        <f t="shared" si="19"/>
        <v>8114.2199844205015</v>
      </c>
      <c r="H347" s="84">
        <f t="shared" si="20"/>
        <v>330.32257357764195</v>
      </c>
      <c r="I347" s="84">
        <f t="shared" si="21"/>
        <v>7783.8974108428592</v>
      </c>
      <c r="J347" s="84">
        <f t="shared" si="22"/>
        <v>126770.93790642527</v>
      </c>
      <c r="K347" s="80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15.75" customHeight="1" x14ac:dyDescent="0.25">
      <c r="A348" s="62"/>
      <c r="B348" s="62"/>
      <c r="C348" s="76"/>
      <c r="D348" s="77"/>
      <c r="E348" s="62"/>
      <c r="F348" s="83">
        <f t="shared" si="18"/>
        <v>345</v>
      </c>
      <c r="G348" s="84">
        <f t="shared" si="19"/>
        <v>8114.2199844205015</v>
      </c>
      <c r="H348" s="84">
        <f t="shared" si="20"/>
        <v>314.10612063838602</v>
      </c>
      <c r="I348" s="84">
        <f t="shared" si="21"/>
        <v>7800.1138637821159</v>
      </c>
      <c r="J348" s="84">
        <f t="shared" si="22"/>
        <v>118970.82404264316</v>
      </c>
      <c r="K348" s="80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15.75" customHeight="1" x14ac:dyDescent="0.25">
      <c r="A349" s="62"/>
      <c r="B349" s="62"/>
      <c r="C349" s="76"/>
      <c r="D349" s="77"/>
      <c r="E349" s="62"/>
      <c r="F349" s="83">
        <f t="shared" si="18"/>
        <v>346</v>
      </c>
      <c r="G349" s="84">
        <f t="shared" si="19"/>
        <v>8114.2199844205015</v>
      </c>
      <c r="H349" s="84">
        <f t="shared" si="20"/>
        <v>297.85588342217329</v>
      </c>
      <c r="I349" s="84">
        <f t="shared" si="21"/>
        <v>7816.3641009983285</v>
      </c>
      <c r="J349" s="84">
        <f t="shared" si="22"/>
        <v>111154.45994164483</v>
      </c>
      <c r="K349" s="80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15.75" customHeight="1" x14ac:dyDescent="0.25">
      <c r="A350" s="62"/>
      <c r="B350" s="62"/>
      <c r="C350" s="76"/>
      <c r="D350" s="77"/>
      <c r="E350" s="62"/>
      <c r="F350" s="83">
        <f t="shared" si="18"/>
        <v>347</v>
      </c>
      <c r="G350" s="84">
        <f t="shared" si="19"/>
        <v>8114.2199844205015</v>
      </c>
      <c r="H350" s="84">
        <f t="shared" si="20"/>
        <v>281.57179154509345</v>
      </c>
      <c r="I350" s="84">
        <f t="shared" si="21"/>
        <v>7832.6481928754083</v>
      </c>
      <c r="J350" s="84">
        <f t="shared" si="22"/>
        <v>103321.81174876943</v>
      </c>
      <c r="K350" s="80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15.75" customHeight="1" x14ac:dyDescent="0.25">
      <c r="A351" s="62"/>
      <c r="B351" s="62"/>
      <c r="C351" s="76"/>
      <c r="D351" s="77"/>
      <c r="E351" s="62"/>
      <c r="F351" s="83">
        <f t="shared" si="18"/>
        <v>348</v>
      </c>
      <c r="G351" s="84">
        <f t="shared" si="19"/>
        <v>8114.2199844205015</v>
      </c>
      <c r="H351" s="84">
        <f t="shared" si="20"/>
        <v>265.25377447660298</v>
      </c>
      <c r="I351" s="84">
        <f t="shared" si="21"/>
        <v>7848.9662099438983</v>
      </c>
      <c r="J351" s="84">
        <f t="shared" si="22"/>
        <v>95472.845538825524</v>
      </c>
      <c r="K351" s="80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15.75" customHeight="1" x14ac:dyDescent="0.25">
      <c r="A352" s="62"/>
      <c r="B352" s="62"/>
      <c r="C352" s="76"/>
      <c r="D352" s="77"/>
      <c r="E352" s="62"/>
      <c r="F352" s="83">
        <f t="shared" si="18"/>
        <v>349</v>
      </c>
      <c r="G352" s="84">
        <f t="shared" si="19"/>
        <v>8114.2199844205015</v>
      </c>
      <c r="H352" s="84">
        <f t="shared" si="20"/>
        <v>248.90176153921985</v>
      </c>
      <c r="I352" s="84">
        <f t="shared" si="21"/>
        <v>7865.3182228812821</v>
      </c>
      <c r="J352" s="84">
        <f t="shared" si="22"/>
        <v>87607.527315944244</v>
      </c>
      <c r="K352" s="80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15.75" customHeight="1" x14ac:dyDescent="0.25">
      <c r="A353" s="62"/>
      <c r="B353" s="62"/>
      <c r="C353" s="76"/>
      <c r="D353" s="77"/>
      <c r="E353" s="62"/>
      <c r="F353" s="83">
        <f t="shared" si="18"/>
        <v>350</v>
      </c>
      <c r="G353" s="84">
        <f t="shared" si="19"/>
        <v>8114.2199844205015</v>
      </c>
      <c r="H353" s="84">
        <f t="shared" si="20"/>
        <v>232.51568190821718</v>
      </c>
      <c r="I353" s="84">
        <f t="shared" si="21"/>
        <v>7881.7043025122839</v>
      </c>
      <c r="J353" s="84">
        <f t="shared" si="22"/>
        <v>79725.82301343196</v>
      </c>
      <c r="K353" s="80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15.75" customHeight="1" x14ac:dyDescent="0.25">
      <c r="A354" s="62"/>
      <c r="B354" s="62"/>
      <c r="C354" s="76"/>
      <c r="D354" s="77"/>
      <c r="E354" s="62"/>
      <c r="F354" s="83">
        <f t="shared" si="18"/>
        <v>351</v>
      </c>
      <c r="G354" s="84">
        <f t="shared" si="19"/>
        <v>8114.2199844205015</v>
      </c>
      <c r="H354" s="84">
        <f t="shared" si="20"/>
        <v>216.0954646113166</v>
      </c>
      <c r="I354" s="84">
        <f t="shared" si="21"/>
        <v>7898.1245198091847</v>
      </c>
      <c r="J354" s="84">
        <f t="shared" si="22"/>
        <v>71827.698493622782</v>
      </c>
      <c r="K354" s="80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15.75" customHeight="1" x14ac:dyDescent="0.25">
      <c r="A355" s="62"/>
      <c r="B355" s="62"/>
      <c r="C355" s="76"/>
      <c r="D355" s="77"/>
      <c r="E355" s="62"/>
      <c r="F355" s="83">
        <f t="shared" si="18"/>
        <v>352</v>
      </c>
      <c r="G355" s="84">
        <f t="shared" si="19"/>
        <v>8114.2199844205015</v>
      </c>
      <c r="H355" s="84">
        <f t="shared" si="20"/>
        <v>199.64103852838079</v>
      </c>
      <c r="I355" s="84">
        <f t="shared" si="21"/>
        <v>7914.5789458921208</v>
      </c>
      <c r="J355" s="84">
        <f t="shared" si="22"/>
        <v>63913.119547730661</v>
      </c>
      <c r="K355" s="80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15.75" customHeight="1" x14ac:dyDescent="0.25">
      <c r="A356" s="62"/>
      <c r="B356" s="62"/>
      <c r="C356" s="76"/>
      <c r="D356" s="77"/>
      <c r="E356" s="62"/>
      <c r="F356" s="83">
        <f t="shared" si="18"/>
        <v>353</v>
      </c>
      <c r="G356" s="84">
        <f t="shared" si="19"/>
        <v>8114.2199844205015</v>
      </c>
      <c r="H356" s="84">
        <f t="shared" si="20"/>
        <v>183.15233239110555</v>
      </c>
      <c r="I356" s="84">
        <f t="shared" si="21"/>
        <v>7931.0676520293964</v>
      </c>
      <c r="J356" s="84">
        <f t="shared" si="22"/>
        <v>55982.051895701268</v>
      </c>
      <c r="K356" s="80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15.75" customHeight="1" x14ac:dyDescent="0.25">
      <c r="A357" s="62"/>
      <c r="B357" s="62"/>
      <c r="C357" s="76"/>
      <c r="D357" s="77"/>
      <c r="E357" s="62"/>
      <c r="F357" s="83">
        <f t="shared" si="18"/>
        <v>354</v>
      </c>
      <c r="G357" s="84">
        <f t="shared" si="19"/>
        <v>8114.2199844205015</v>
      </c>
      <c r="H357" s="84">
        <f t="shared" si="20"/>
        <v>166.62927478271098</v>
      </c>
      <c r="I357" s="84">
        <f t="shared" si="21"/>
        <v>7947.5907096377905</v>
      </c>
      <c r="J357" s="84">
        <f t="shared" si="22"/>
        <v>48034.461186063476</v>
      </c>
      <c r="K357" s="80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15.75" customHeight="1" x14ac:dyDescent="0.25">
      <c r="A358" s="62"/>
      <c r="B358" s="62"/>
      <c r="C358" s="76"/>
      <c r="D358" s="77"/>
      <c r="E358" s="62"/>
      <c r="F358" s="83">
        <f t="shared" si="18"/>
        <v>355</v>
      </c>
      <c r="G358" s="84">
        <f t="shared" si="19"/>
        <v>8114.2199844205015</v>
      </c>
      <c r="H358" s="84">
        <f t="shared" si="20"/>
        <v>150.07179413763225</v>
      </c>
      <c r="I358" s="84">
        <f t="shared" si="21"/>
        <v>7964.1481902828691</v>
      </c>
      <c r="J358" s="84">
        <f t="shared" si="22"/>
        <v>40070.312995780609</v>
      </c>
      <c r="K358" s="80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15.75" customHeight="1" x14ac:dyDescent="0.25">
      <c r="A359" s="62"/>
      <c r="B359" s="62"/>
      <c r="C359" s="76"/>
      <c r="D359" s="77"/>
      <c r="E359" s="62"/>
      <c r="F359" s="83">
        <f t="shared" si="18"/>
        <v>356</v>
      </c>
      <c r="G359" s="84">
        <f t="shared" si="19"/>
        <v>8114.2199844205015</v>
      </c>
      <c r="H359" s="84">
        <f t="shared" si="20"/>
        <v>133.47981874120961</v>
      </c>
      <c r="I359" s="84">
        <f t="shared" si="21"/>
        <v>7980.7401656792917</v>
      </c>
      <c r="J359" s="84">
        <f t="shared" si="22"/>
        <v>32089.572830101315</v>
      </c>
      <c r="K359" s="80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15.75" customHeight="1" x14ac:dyDescent="0.25">
      <c r="A360" s="62"/>
      <c r="B360" s="62"/>
      <c r="C360" s="76"/>
      <c r="D360" s="77"/>
      <c r="E360" s="62"/>
      <c r="F360" s="83">
        <f t="shared" si="18"/>
        <v>357</v>
      </c>
      <c r="G360" s="84">
        <f t="shared" si="19"/>
        <v>8114.2199844205015</v>
      </c>
      <c r="H360" s="84">
        <f t="shared" si="20"/>
        <v>116.85327672937774</v>
      </c>
      <c r="I360" s="84">
        <f t="shared" si="21"/>
        <v>7997.3667076911242</v>
      </c>
      <c r="J360" s="84">
        <f t="shared" si="22"/>
        <v>24092.206122410193</v>
      </c>
      <c r="K360" s="80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15.75" customHeight="1" x14ac:dyDescent="0.25">
      <c r="A361" s="62"/>
      <c r="B361" s="62"/>
      <c r="C361" s="76"/>
      <c r="D361" s="77"/>
      <c r="E361" s="62"/>
      <c r="F361" s="83">
        <f t="shared" si="18"/>
        <v>358</v>
      </c>
      <c r="G361" s="84">
        <f t="shared" si="19"/>
        <v>8114.2199844205015</v>
      </c>
      <c r="H361" s="84">
        <f t="shared" si="20"/>
        <v>100.19209608835456</v>
      </c>
      <c r="I361" s="84">
        <f t="shared" si="21"/>
        <v>8014.0278883321471</v>
      </c>
      <c r="J361" s="84">
        <f t="shared" si="22"/>
        <v>16078.178234078045</v>
      </c>
      <c r="K361" s="80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15.75" customHeight="1" x14ac:dyDescent="0.25">
      <c r="A362" s="62"/>
      <c r="B362" s="62"/>
      <c r="C362" s="76"/>
      <c r="D362" s="77"/>
      <c r="E362" s="62"/>
      <c r="F362" s="83">
        <f t="shared" si="18"/>
        <v>359</v>
      </c>
      <c r="G362" s="84">
        <f t="shared" si="19"/>
        <v>8114.2199844205015</v>
      </c>
      <c r="H362" s="84">
        <f t="shared" si="20"/>
        <v>83.496204654329262</v>
      </c>
      <c r="I362" s="84">
        <f t="shared" si="21"/>
        <v>8030.7237797661719</v>
      </c>
      <c r="J362" s="84">
        <f t="shared" si="22"/>
        <v>8047.4544543118727</v>
      </c>
      <c r="K362" s="80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15.75" customHeight="1" x14ac:dyDescent="0.25">
      <c r="A363" s="62"/>
      <c r="B363" s="62"/>
      <c r="C363" s="76"/>
      <c r="D363" s="77"/>
      <c r="E363" s="62"/>
      <c r="F363" s="83">
        <f t="shared" si="18"/>
        <v>360</v>
      </c>
      <c r="G363" s="84">
        <f t="shared" si="19"/>
        <v>8114.2199844250226</v>
      </c>
      <c r="H363" s="84">
        <f t="shared" si="20"/>
        <v>66.765530113149737</v>
      </c>
      <c r="I363" s="84">
        <f t="shared" si="21"/>
        <v>8047.4544543118727</v>
      </c>
      <c r="J363" s="84">
        <f t="shared" si="22"/>
        <v>0</v>
      </c>
      <c r="K363" s="80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15.75" customHeight="1" x14ac:dyDescent="0.25">
      <c r="A364" s="62"/>
      <c r="B364" s="62"/>
      <c r="C364" s="76"/>
      <c r="D364" s="77"/>
      <c r="E364" s="62"/>
      <c r="F364" s="83" t="str">
        <f t="shared" si="18"/>
        <v/>
      </c>
      <c r="G364" s="84" t="str">
        <f t="shared" si="19"/>
        <v/>
      </c>
      <c r="H364" s="84" t="str">
        <f t="shared" si="20"/>
        <v/>
      </c>
      <c r="I364" s="84" t="str">
        <f t="shared" si="21"/>
        <v/>
      </c>
      <c r="J364" s="84" t="str">
        <f t="shared" si="22"/>
        <v/>
      </c>
      <c r="K364" s="80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15.75" customHeight="1" x14ac:dyDescent="0.25">
      <c r="A365" s="62"/>
      <c r="B365" s="62"/>
      <c r="C365" s="76"/>
      <c r="D365" s="77"/>
      <c r="E365" s="62"/>
      <c r="F365" s="83" t="str">
        <f t="shared" si="18"/>
        <v/>
      </c>
      <c r="G365" s="84" t="str">
        <f t="shared" si="19"/>
        <v/>
      </c>
      <c r="H365" s="84" t="str">
        <f t="shared" si="20"/>
        <v/>
      </c>
      <c r="I365" s="84" t="str">
        <f t="shared" si="21"/>
        <v/>
      </c>
      <c r="J365" s="84" t="str">
        <f t="shared" si="22"/>
        <v/>
      </c>
      <c r="K365" s="80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15.75" customHeight="1" x14ac:dyDescent="0.25">
      <c r="A366" s="62"/>
      <c r="B366" s="62"/>
      <c r="C366" s="76"/>
      <c r="D366" s="77"/>
      <c r="E366" s="62"/>
      <c r="F366" s="83" t="str">
        <f t="shared" si="18"/>
        <v/>
      </c>
      <c r="G366" s="84" t="str">
        <f t="shared" si="19"/>
        <v/>
      </c>
      <c r="H366" s="84" t="str">
        <f t="shared" si="20"/>
        <v/>
      </c>
      <c r="I366" s="84" t="str">
        <f t="shared" si="21"/>
        <v/>
      </c>
      <c r="J366" s="84" t="str">
        <f t="shared" si="22"/>
        <v/>
      </c>
      <c r="K366" s="80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15.75" customHeight="1" x14ac:dyDescent="0.25">
      <c r="A367" s="62"/>
      <c r="B367" s="62"/>
      <c r="C367" s="76"/>
      <c r="D367" s="77"/>
      <c r="E367" s="62"/>
      <c r="F367" s="83" t="str">
        <f t="shared" si="18"/>
        <v/>
      </c>
      <c r="G367" s="84" t="str">
        <f t="shared" si="19"/>
        <v/>
      </c>
      <c r="H367" s="84" t="str">
        <f t="shared" si="20"/>
        <v/>
      </c>
      <c r="I367" s="84" t="str">
        <f t="shared" si="21"/>
        <v/>
      </c>
      <c r="J367" s="84" t="str">
        <f t="shared" si="22"/>
        <v/>
      </c>
      <c r="K367" s="80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15.75" customHeight="1" x14ac:dyDescent="0.25">
      <c r="A368" s="62"/>
      <c r="B368" s="62"/>
      <c r="C368" s="76"/>
      <c r="D368" s="77"/>
      <c r="E368" s="62"/>
      <c r="F368" s="83" t="str">
        <f t="shared" si="18"/>
        <v/>
      </c>
      <c r="G368" s="84" t="str">
        <f t="shared" si="19"/>
        <v/>
      </c>
      <c r="H368" s="84" t="str">
        <f t="shared" si="20"/>
        <v/>
      </c>
      <c r="I368" s="84" t="str">
        <f t="shared" si="21"/>
        <v/>
      </c>
      <c r="J368" s="84" t="str">
        <f t="shared" si="22"/>
        <v/>
      </c>
      <c r="K368" s="80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15.75" customHeight="1" x14ac:dyDescent="0.25">
      <c r="A369" s="62"/>
      <c r="B369" s="62"/>
      <c r="C369" s="76"/>
      <c r="D369" s="77"/>
      <c r="E369" s="62"/>
      <c r="F369" s="83" t="str">
        <f t="shared" si="18"/>
        <v/>
      </c>
      <c r="G369" s="84" t="str">
        <f t="shared" si="19"/>
        <v/>
      </c>
      <c r="H369" s="84" t="str">
        <f t="shared" si="20"/>
        <v/>
      </c>
      <c r="I369" s="84" t="str">
        <f t="shared" si="21"/>
        <v/>
      </c>
      <c r="J369" s="84" t="str">
        <f t="shared" si="22"/>
        <v/>
      </c>
      <c r="K369" s="80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15.75" customHeight="1" x14ac:dyDescent="0.25">
      <c r="A370" s="62"/>
      <c r="B370" s="62"/>
      <c r="C370" s="76"/>
      <c r="D370" s="77"/>
      <c r="E370" s="62"/>
      <c r="F370" s="83" t="str">
        <f t="shared" si="18"/>
        <v/>
      </c>
      <c r="G370" s="84" t="str">
        <f t="shared" si="19"/>
        <v/>
      </c>
      <c r="H370" s="84" t="str">
        <f t="shared" si="20"/>
        <v/>
      </c>
      <c r="I370" s="84" t="str">
        <f t="shared" si="21"/>
        <v/>
      </c>
      <c r="J370" s="84" t="str">
        <f t="shared" si="22"/>
        <v/>
      </c>
      <c r="K370" s="80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15.75" customHeight="1" x14ac:dyDescent="0.25">
      <c r="A371" s="62"/>
      <c r="B371" s="62"/>
      <c r="C371" s="76"/>
      <c r="D371" s="77"/>
      <c r="E371" s="62"/>
      <c r="F371" s="83" t="str">
        <f t="shared" si="18"/>
        <v/>
      </c>
      <c r="G371" s="84" t="str">
        <f t="shared" si="19"/>
        <v/>
      </c>
      <c r="H371" s="84" t="str">
        <f t="shared" si="20"/>
        <v/>
      </c>
      <c r="I371" s="84" t="str">
        <f t="shared" si="21"/>
        <v/>
      </c>
      <c r="J371" s="84" t="str">
        <f t="shared" si="22"/>
        <v/>
      </c>
      <c r="K371" s="80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15.75" customHeight="1" x14ac:dyDescent="0.25">
      <c r="A372" s="62"/>
      <c r="B372" s="62"/>
      <c r="C372" s="76"/>
      <c r="D372" s="77"/>
      <c r="E372" s="62"/>
      <c r="F372" s="83" t="str">
        <f t="shared" si="18"/>
        <v/>
      </c>
      <c r="G372" s="84" t="str">
        <f t="shared" si="19"/>
        <v/>
      </c>
      <c r="H372" s="84" t="str">
        <f t="shared" si="20"/>
        <v/>
      </c>
      <c r="I372" s="84" t="str">
        <f t="shared" si="21"/>
        <v/>
      </c>
      <c r="J372" s="84" t="str">
        <f t="shared" si="22"/>
        <v/>
      </c>
      <c r="K372" s="80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15.75" customHeight="1" x14ac:dyDescent="0.25">
      <c r="A373" s="62"/>
      <c r="B373" s="62"/>
      <c r="C373" s="76"/>
      <c r="D373" s="77"/>
      <c r="E373" s="62"/>
      <c r="F373" s="83" t="str">
        <f t="shared" si="18"/>
        <v/>
      </c>
      <c r="G373" s="84" t="str">
        <f t="shared" si="19"/>
        <v/>
      </c>
      <c r="H373" s="84" t="str">
        <f t="shared" si="20"/>
        <v/>
      </c>
      <c r="I373" s="84" t="str">
        <f t="shared" si="21"/>
        <v/>
      </c>
      <c r="J373" s="84" t="str">
        <f t="shared" si="22"/>
        <v/>
      </c>
      <c r="K373" s="80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15.75" customHeight="1" x14ac:dyDescent="0.25">
      <c r="A374" s="62"/>
      <c r="B374" s="62"/>
      <c r="C374" s="76"/>
      <c r="D374" s="77"/>
      <c r="E374" s="62"/>
      <c r="F374" s="83" t="str">
        <f t="shared" si="18"/>
        <v/>
      </c>
      <c r="G374" s="84" t="str">
        <f t="shared" si="19"/>
        <v/>
      </c>
      <c r="H374" s="84" t="str">
        <f t="shared" si="20"/>
        <v/>
      </c>
      <c r="I374" s="84" t="str">
        <f t="shared" si="21"/>
        <v/>
      </c>
      <c r="J374" s="84" t="str">
        <f t="shared" si="22"/>
        <v/>
      </c>
      <c r="K374" s="80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15.75" customHeight="1" x14ac:dyDescent="0.25">
      <c r="A375" s="62"/>
      <c r="B375" s="62"/>
      <c r="C375" s="76"/>
      <c r="D375" s="77"/>
      <c r="E375" s="62"/>
      <c r="F375" s="83" t="str">
        <f t="shared" si="18"/>
        <v/>
      </c>
      <c r="G375" s="84" t="str">
        <f t="shared" si="19"/>
        <v/>
      </c>
      <c r="H375" s="84" t="str">
        <f t="shared" si="20"/>
        <v/>
      </c>
      <c r="I375" s="84" t="str">
        <f t="shared" si="21"/>
        <v/>
      </c>
      <c r="J375" s="84" t="str">
        <f t="shared" si="22"/>
        <v/>
      </c>
      <c r="K375" s="80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15.75" customHeight="1" x14ac:dyDescent="0.25">
      <c r="A376" s="62"/>
      <c r="B376" s="62"/>
      <c r="C376" s="76"/>
      <c r="D376" s="77"/>
      <c r="E376" s="62"/>
      <c r="F376" s="83" t="str">
        <f t="shared" si="18"/>
        <v/>
      </c>
      <c r="G376" s="84" t="str">
        <f t="shared" si="19"/>
        <v/>
      </c>
      <c r="H376" s="84" t="str">
        <f t="shared" si="20"/>
        <v/>
      </c>
      <c r="I376" s="84" t="str">
        <f t="shared" si="21"/>
        <v/>
      </c>
      <c r="J376" s="84" t="str">
        <f t="shared" si="22"/>
        <v/>
      </c>
      <c r="K376" s="80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15.75" customHeight="1" x14ac:dyDescent="0.25">
      <c r="A377" s="62"/>
      <c r="B377" s="62"/>
      <c r="C377" s="76"/>
      <c r="D377" s="77"/>
      <c r="E377" s="62"/>
      <c r="F377" s="83" t="str">
        <f t="shared" si="18"/>
        <v/>
      </c>
      <c r="G377" s="84" t="str">
        <f t="shared" si="19"/>
        <v/>
      </c>
      <c r="H377" s="84" t="str">
        <f t="shared" si="20"/>
        <v/>
      </c>
      <c r="I377" s="84" t="str">
        <f t="shared" si="21"/>
        <v/>
      </c>
      <c r="J377" s="84" t="str">
        <f t="shared" si="22"/>
        <v/>
      </c>
      <c r="K377" s="80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15.75" customHeight="1" x14ac:dyDescent="0.25">
      <c r="A378" s="62"/>
      <c r="B378" s="62"/>
      <c r="C378" s="76"/>
      <c r="D378" s="77"/>
      <c r="E378" s="62"/>
      <c r="F378" s="83" t="str">
        <f t="shared" si="18"/>
        <v/>
      </c>
      <c r="G378" s="84" t="str">
        <f t="shared" si="19"/>
        <v/>
      </c>
      <c r="H378" s="84" t="str">
        <f t="shared" si="20"/>
        <v/>
      </c>
      <c r="I378" s="84" t="str">
        <f t="shared" si="21"/>
        <v/>
      </c>
      <c r="J378" s="84" t="str">
        <f t="shared" si="22"/>
        <v/>
      </c>
      <c r="K378" s="80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15.75" customHeight="1" x14ac:dyDescent="0.25">
      <c r="A379" s="62"/>
      <c r="B379" s="62"/>
      <c r="C379" s="76"/>
      <c r="D379" s="77"/>
      <c r="E379" s="62"/>
      <c r="F379" s="83" t="str">
        <f t="shared" si="18"/>
        <v/>
      </c>
      <c r="G379" s="84" t="str">
        <f t="shared" si="19"/>
        <v/>
      </c>
      <c r="H379" s="84" t="str">
        <f t="shared" si="20"/>
        <v/>
      </c>
      <c r="I379" s="84" t="str">
        <f t="shared" si="21"/>
        <v/>
      </c>
      <c r="J379" s="84" t="str">
        <f t="shared" si="22"/>
        <v/>
      </c>
      <c r="K379" s="80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15.75" customHeight="1" x14ac:dyDescent="0.25">
      <c r="A380" s="62"/>
      <c r="B380" s="62"/>
      <c r="C380" s="76"/>
      <c r="D380" s="77"/>
      <c r="E380" s="62"/>
      <c r="F380" s="83" t="str">
        <f t="shared" si="18"/>
        <v/>
      </c>
      <c r="G380" s="84" t="str">
        <f t="shared" si="19"/>
        <v/>
      </c>
      <c r="H380" s="84" t="str">
        <f t="shared" si="20"/>
        <v/>
      </c>
      <c r="I380" s="84" t="str">
        <f t="shared" si="21"/>
        <v/>
      </c>
      <c r="J380" s="84" t="str">
        <f t="shared" si="22"/>
        <v/>
      </c>
      <c r="K380" s="80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15.75" customHeight="1" x14ac:dyDescent="0.25">
      <c r="A381" s="62"/>
      <c r="B381" s="62"/>
      <c r="C381" s="76"/>
      <c r="D381" s="77"/>
      <c r="E381" s="62"/>
      <c r="F381" s="83" t="str">
        <f t="shared" si="18"/>
        <v/>
      </c>
      <c r="G381" s="84" t="str">
        <f t="shared" si="19"/>
        <v/>
      </c>
      <c r="H381" s="84" t="str">
        <f t="shared" si="20"/>
        <v/>
      </c>
      <c r="I381" s="84" t="str">
        <f t="shared" si="21"/>
        <v/>
      </c>
      <c r="J381" s="84" t="str">
        <f t="shared" si="22"/>
        <v/>
      </c>
      <c r="K381" s="80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15.75" customHeight="1" x14ac:dyDescent="0.25">
      <c r="A382" s="62"/>
      <c r="B382" s="62"/>
      <c r="C382" s="76"/>
      <c r="D382" s="77"/>
      <c r="E382" s="62"/>
      <c r="F382" s="83" t="str">
        <f t="shared" si="18"/>
        <v/>
      </c>
      <c r="G382" s="84" t="str">
        <f t="shared" si="19"/>
        <v/>
      </c>
      <c r="H382" s="84" t="str">
        <f t="shared" si="20"/>
        <v/>
      </c>
      <c r="I382" s="84" t="str">
        <f t="shared" si="21"/>
        <v/>
      </c>
      <c r="J382" s="84" t="str">
        <f t="shared" si="22"/>
        <v/>
      </c>
      <c r="K382" s="80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15.75" customHeight="1" x14ac:dyDescent="0.25">
      <c r="A383" s="62"/>
      <c r="B383" s="62"/>
      <c r="C383" s="76"/>
      <c r="D383" s="77"/>
      <c r="E383" s="62"/>
      <c r="F383" s="83" t="str">
        <f t="shared" si="18"/>
        <v/>
      </c>
      <c r="G383" s="84" t="str">
        <f t="shared" si="19"/>
        <v/>
      </c>
      <c r="H383" s="84" t="str">
        <f t="shared" si="20"/>
        <v/>
      </c>
      <c r="I383" s="84" t="str">
        <f t="shared" si="21"/>
        <v/>
      </c>
      <c r="J383" s="84" t="str">
        <f t="shared" si="22"/>
        <v/>
      </c>
      <c r="K383" s="80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15.75" customHeight="1" x14ac:dyDescent="0.25">
      <c r="A384" s="62"/>
      <c r="B384" s="62"/>
      <c r="C384" s="76"/>
      <c r="D384" s="77"/>
      <c r="E384" s="62"/>
      <c r="F384" s="83" t="str">
        <f t="shared" si="18"/>
        <v/>
      </c>
      <c r="G384" s="84" t="str">
        <f t="shared" si="19"/>
        <v/>
      </c>
      <c r="H384" s="84" t="str">
        <f t="shared" si="20"/>
        <v/>
      </c>
      <c r="I384" s="84" t="str">
        <f t="shared" si="21"/>
        <v/>
      </c>
      <c r="J384" s="84" t="str">
        <f t="shared" si="22"/>
        <v/>
      </c>
      <c r="K384" s="80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15.75" customHeight="1" x14ac:dyDescent="0.25">
      <c r="A385" s="62"/>
      <c r="B385" s="62"/>
      <c r="C385" s="76"/>
      <c r="D385" s="77"/>
      <c r="E385" s="62"/>
      <c r="F385" s="83" t="str">
        <f t="shared" si="18"/>
        <v/>
      </c>
      <c r="G385" s="84" t="str">
        <f t="shared" si="19"/>
        <v/>
      </c>
      <c r="H385" s="84" t="str">
        <f t="shared" si="20"/>
        <v/>
      </c>
      <c r="I385" s="84" t="str">
        <f t="shared" si="21"/>
        <v/>
      </c>
      <c r="J385" s="84" t="str">
        <f t="shared" si="22"/>
        <v/>
      </c>
      <c r="K385" s="80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15.75" customHeight="1" x14ac:dyDescent="0.25">
      <c r="A386" s="62"/>
      <c r="B386" s="62"/>
      <c r="C386" s="76"/>
      <c r="D386" s="77"/>
      <c r="E386" s="62"/>
      <c r="F386" s="83" t="str">
        <f t="shared" si="18"/>
        <v/>
      </c>
      <c r="G386" s="84" t="str">
        <f t="shared" si="19"/>
        <v/>
      </c>
      <c r="H386" s="84" t="str">
        <f t="shared" si="20"/>
        <v/>
      </c>
      <c r="I386" s="84" t="str">
        <f t="shared" si="21"/>
        <v/>
      </c>
      <c r="J386" s="84" t="str">
        <f t="shared" si="22"/>
        <v/>
      </c>
      <c r="K386" s="80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15.75" customHeight="1" x14ac:dyDescent="0.25">
      <c r="A387" s="62"/>
      <c r="B387" s="62"/>
      <c r="C387" s="76"/>
      <c r="D387" s="77"/>
      <c r="E387" s="62"/>
      <c r="F387" s="83" t="str">
        <f t="shared" si="18"/>
        <v/>
      </c>
      <c r="G387" s="84" t="str">
        <f t="shared" si="19"/>
        <v/>
      </c>
      <c r="H387" s="84" t="str">
        <f t="shared" si="20"/>
        <v/>
      </c>
      <c r="I387" s="84" t="str">
        <f t="shared" si="21"/>
        <v/>
      </c>
      <c r="J387" s="84" t="str">
        <f t="shared" si="22"/>
        <v/>
      </c>
      <c r="K387" s="80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15.75" customHeight="1" x14ac:dyDescent="0.25">
      <c r="A388" s="62"/>
      <c r="B388" s="62"/>
      <c r="C388" s="76"/>
      <c r="D388" s="77"/>
      <c r="E388" s="62"/>
      <c r="F388" s="83" t="str">
        <f t="shared" si="18"/>
        <v/>
      </c>
      <c r="G388" s="84" t="str">
        <f t="shared" si="19"/>
        <v/>
      </c>
      <c r="H388" s="84" t="str">
        <f t="shared" si="20"/>
        <v/>
      </c>
      <c r="I388" s="84" t="str">
        <f t="shared" si="21"/>
        <v/>
      </c>
      <c r="J388" s="84" t="str">
        <f t="shared" si="22"/>
        <v/>
      </c>
      <c r="K388" s="80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15.75" customHeight="1" x14ac:dyDescent="0.25">
      <c r="A389" s="62"/>
      <c r="B389" s="62"/>
      <c r="C389" s="76"/>
      <c r="D389" s="77"/>
      <c r="E389" s="62"/>
      <c r="F389" s="83" t="str">
        <f t="shared" si="18"/>
        <v/>
      </c>
      <c r="G389" s="84" t="str">
        <f t="shared" si="19"/>
        <v/>
      </c>
      <c r="H389" s="84" t="str">
        <f t="shared" si="20"/>
        <v/>
      </c>
      <c r="I389" s="84" t="str">
        <f t="shared" si="21"/>
        <v/>
      </c>
      <c r="J389" s="84" t="str">
        <f t="shared" si="22"/>
        <v/>
      </c>
      <c r="K389" s="80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15.75" customHeight="1" x14ac:dyDescent="0.25">
      <c r="A390" s="62"/>
      <c r="B390" s="62"/>
      <c r="C390" s="76"/>
      <c r="D390" s="77"/>
      <c r="E390" s="62"/>
      <c r="F390" s="83" t="str">
        <f t="shared" si="18"/>
        <v/>
      </c>
      <c r="G390" s="84" t="str">
        <f t="shared" si="19"/>
        <v/>
      </c>
      <c r="H390" s="84" t="str">
        <f t="shared" si="20"/>
        <v/>
      </c>
      <c r="I390" s="84" t="str">
        <f t="shared" si="21"/>
        <v/>
      </c>
      <c r="J390" s="84" t="str">
        <f t="shared" si="22"/>
        <v/>
      </c>
      <c r="K390" s="80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15.75" customHeight="1" x14ac:dyDescent="0.25">
      <c r="A391" s="62"/>
      <c r="B391" s="62"/>
      <c r="C391" s="76"/>
      <c r="D391" s="77"/>
      <c r="E391" s="62"/>
      <c r="F391" s="83" t="str">
        <f t="shared" si="18"/>
        <v/>
      </c>
      <c r="G391" s="84" t="str">
        <f t="shared" si="19"/>
        <v/>
      </c>
      <c r="H391" s="84" t="str">
        <f t="shared" si="20"/>
        <v/>
      </c>
      <c r="I391" s="84" t="str">
        <f t="shared" si="21"/>
        <v/>
      </c>
      <c r="J391" s="84" t="str">
        <f t="shared" si="22"/>
        <v/>
      </c>
      <c r="K391" s="80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15.75" customHeight="1" x14ac:dyDescent="0.25">
      <c r="A392" s="62"/>
      <c r="B392" s="62"/>
      <c r="C392" s="76"/>
      <c r="D392" s="77"/>
      <c r="E392" s="62"/>
      <c r="F392" s="83" t="str">
        <f t="shared" si="18"/>
        <v/>
      </c>
      <c r="G392" s="84" t="str">
        <f t="shared" si="19"/>
        <v/>
      </c>
      <c r="H392" s="84" t="str">
        <f t="shared" si="20"/>
        <v/>
      </c>
      <c r="I392" s="84" t="str">
        <f t="shared" si="21"/>
        <v/>
      </c>
      <c r="J392" s="84" t="str">
        <f t="shared" si="22"/>
        <v/>
      </c>
      <c r="K392" s="80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15.75" customHeight="1" x14ac:dyDescent="0.25">
      <c r="A393" s="62"/>
      <c r="B393" s="62"/>
      <c r="C393" s="76"/>
      <c r="D393" s="77"/>
      <c r="E393" s="62"/>
      <c r="F393" s="83" t="str">
        <f t="shared" si="18"/>
        <v/>
      </c>
      <c r="G393" s="84" t="str">
        <f t="shared" si="19"/>
        <v/>
      </c>
      <c r="H393" s="84" t="str">
        <f t="shared" si="20"/>
        <v/>
      </c>
      <c r="I393" s="84" t="str">
        <f t="shared" si="21"/>
        <v/>
      </c>
      <c r="J393" s="84" t="str">
        <f t="shared" si="22"/>
        <v/>
      </c>
      <c r="K393" s="80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ht="15.75" customHeight="1" x14ac:dyDescent="0.25">
      <c r="A394" s="62"/>
      <c r="B394" s="62"/>
      <c r="C394" s="76"/>
      <c r="D394" s="77"/>
      <c r="E394" s="62"/>
      <c r="F394" s="83" t="str">
        <f t="shared" si="18"/>
        <v/>
      </c>
      <c r="G394" s="84" t="str">
        <f t="shared" si="19"/>
        <v/>
      </c>
      <c r="H394" s="84" t="str">
        <f t="shared" si="20"/>
        <v/>
      </c>
      <c r="I394" s="84" t="str">
        <f t="shared" si="21"/>
        <v/>
      </c>
      <c r="J394" s="84" t="str">
        <f t="shared" si="22"/>
        <v/>
      </c>
      <c r="K394" s="80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ht="15.75" customHeight="1" x14ac:dyDescent="0.25">
      <c r="A395" s="62"/>
      <c r="B395" s="62"/>
      <c r="C395" s="76"/>
      <c r="D395" s="77"/>
      <c r="E395" s="62"/>
      <c r="F395" s="83" t="str">
        <f t="shared" si="18"/>
        <v/>
      </c>
      <c r="G395" s="84" t="str">
        <f t="shared" si="19"/>
        <v/>
      </c>
      <c r="H395" s="84" t="str">
        <f t="shared" si="20"/>
        <v/>
      </c>
      <c r="I395" s="84" t="str">
        <f t="shared" si="21"/>
        <v/>
      </c>
      <c r="J395" s="84" t="str">
        <f t="shared" si="22"/>
        <v/>
      </c>
      <c r="K395" s="80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ht="15.75" customHeight="1" x14ac:dyDescent="0.25">
      <c r="A396" s="62"/>
      <c r="B396" s="62"/>
      <c r="C396" s="76"/>
      <c r="D396" s="77"/>
      <c r="E396" s="62"/>
      <c r="F396" s="83" t="str">
        <f t="shared" si="18"/>
        <v/>
      </c>
      <c r="G396" s="84" t="str">
        <f t="shared" si="19"/>
        <v/>
      </c>
      <c r="H396" s="84" t="str">
        <f t="shared" si="20"/>
        <v/>
      </c>
      <c r="I396" s="84" t="str">
        <f t="shared" si="21"/>
        <v/>
      </c>
      <c r="J396" s="84" t="str">
        <f t="shared" si="22"/>
        <v/>
      </c>
      <c r="K396" s="80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ht="15.75" customHeight="1" x14ac:dyDescent="0.25">
      <c r="A397" s="62"/>
      <c r="B397" s="62"/>
      <c r="C397" s="76"/>
      <c r="D397" s="77"/>
      <c r="E397" s="62"/>
      <c r="F397" s="83" t="str">
        <f t="shared" si="18"/>
        <v/>
      </c>
      <c r="G397" s="84" t="str">
        <f t="shared" si="19"/>
        <v/>
      </c>
      <c r="H397" s="84" t="str">
        <f t="shared" si="20"/>
        <v/>
      </c>
      <c r="I397" s="84" t="str">
        <f t="shared" si="21"/>
        <v/>
      </c>
      <c r="J397" s="84" t="str">
        <f t="shared" si="22"/>
        <v/>
      </c>
      <c r="K397" s="80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ht="15.75" customHeight="1" x14ac:dyDescent="0.25">
      <c r="A398" s="62"/>
      <c r="B398" s="62"/>
      <c r="C398" s="76"/>
      <c r="D398" s="77"/>
      <c r="E398" s="62"/>
      <c r="F398" s="83" t="str">
        <f t="shared" si="18"/>
        <v/>
      </c>
      <c r="G398" s="84" t="str">
        <f t="shared" si="19"/>
        <v/>
      </c>
      <c r="H398" s="84" t="str">
        <f t="shared" si="20"/>
        <v/>
      </c>
      <c r="I398" s="84" t="str">
        <f t="shared" si="21"/>
        <v/>
      </c>
      <c r="J398" s="84" t="str">
        <f t="shared" si="22"/>
        <v/>
      </c>
      <c r="K398" s="80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ht="15.75" customHeight="1" x14ac:dyDescent="0.25">
      <c r="A399" s="62"/>
      <c r="B399" s="62"/>
      <c r="C399" s="76"/>
      <c r="D399" s="77"/>
      <c r="E399" s="62"/>
      <c r="F399" s="83" t="str">
        <f t="shared" si="18"/>
        <v/>
      </c>
      <c r="G399" s="84" t="str">
        <f t="shared" si="19"/>
        <v/>
      </c>
      <c r="H399" s="84" t="str">
        <f t="shared" si="20"/>
        <v/>
      </c>
      <c r="I399" s="84" t="str">
        <f t="shared" si="21"/>
        <v/>
      </c>
      <c r="J399" s="84" t="str">
        <f t="shared" si="22"/>
        <v/>
      </c>
      <c r="K399" s="80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ht="15.75" customHeight="1" x14ac:dyDescent="0.25">
      <c r="A400" s="62"/>
      <c r="B400" s="62"/>
      <c r="C400" s="76"/>
      <c r="D400" s="77"/>
      <c r="E400" s="62"/>
      <c r="F400" s="83" t="str">
        <f t="shared" si="18"/>
        <v/>
      </c>
      <c r="G400" s="84" t="str">
        <f t="shared" si="19"/>
        <v/>
      </c>
      <c r="H400" s="84" t="str">
        <f t="shared" si="20"/>
        <v/>
      </c>
      <c r="I400" s="84" t="str">
        <f t="shared" si="21"/>
        <v/>
      </c>
      <c r="J400" s="84" t="str">
        <f t="shared" si="22"/>
        <v/>
      </c>
      <c r="K400" s="80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ht="15.75" customHeight="1" x14ac:dyDescent="0.25">
      <c r="A401" s="62"/>
      <c r="B401" s="62"/>
      <c r="C401" s="76"/>
      <c r="D401" s="77"/>
      <c r="E401" s="62"/>
      <c r="F401" s="83" t="str">
        <f t="shared" si="18"/>
        <v/>
      </c>
      <c r="G401" s="84" t="str">
        <f t="shared" si="19"/>
        <v/>
      </c>
      <c r="H401" s="84" t="str">
        <f t="shared" si="20"/>
        <v/>
      </c>
      <c r="I401" s="84" t="str">
        <f t="shared" si="21"/>
        <v/>
      </c>
      <c r="J401" s="84" t="str">
        <f t="shared" si="22"/>
        <v/>
      </c>
      <c r="K401" s="80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ht="15.75" customHeight="1" x14ac:dyDescent="0.25">
      <c r="A402" s="62"/>
      <c r="B402" s="62"/>
      <c r="C402" s="76"/>
      <c r="D402" s="77"/>
      <c r="E402" s="62"/>
      <c r="F402" s="83" t="str">
        <f t="shared" si="18"/>
        <v/>
      </c>
      <c r="G402" s="84" t="str">
        <f t="shared" si="19"/>
        <v/>
      </c>
      <c r="H402" s="84" t="str">
        <f t="shared" si="20"/>
        <v/>
      </c>
      <c r="I402" s="84" t="str">
        <f t="shared" si="21"/>
        <v/>
      </c>
      <c r="J402" s="84" t="str">
        <f t="shared" si="22"/>
        <v/>
      </c>
      <c r="K402" s="80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ht="15.75" customHeight="1" x14ac:dyDescent="0.25">
      <c r="A403" s="62"/>
      <c r="B403" s="62"/>
      <c r="C403" s="76"/>
      <c r="D403" s="77"/>
      <c r="E403" s="62"/>
      <c r="F403" s="83" t="str">
        <f t="shared" si="18"/>
        <v/>
      </c>
      <c r="G403" s="84" t="str">
        <f t="shared" si="19"/>
        <v/>
      </c>
      <c r="H403" s="84" t="str">
        <f t="shared" si="20"/>
        <v/>
      </c>
      <c r="I403" s="84" t="str">
        <f t="shared" si="21"/>
        <v/>
      </c>
      <c r="J403" s="84" t="str">
        <f t="shared" si="22"/>
        <v/>
      </c>
      <c r="K403" s="80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ht="15.75" customHeight="1" x14ac:dyDescent="0.25">
      <c r="A404" s="62"/>
      <c r="B404" s="62"/>
      <c r="C404" s="76"/>
      <c r="D404" s="77"/>
      <c r="E404" s="62"/>
      <c r="F404" s="83" t="str">
        <f t="shared" si="18"/>
        <v/>
      </c>
      <c r="G404" s="84" t="str">
        <f t="shared" si="19"/>
        <v/>
      </c>
      <c r="H404" s="84" t="str">
        <f t="shared" si="20"/>
        <v/>
      </c>
      <c r="I404" s="84" t="str">
        <f t="shared" si="21"/>
        <v/>
      </c>
      <c r="J404" s="84" t="str">
        <f t="shared" si="22"/>
        <v/>
      </c>
      <c r="K404" s="80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ht="15.75" customHeight="1" x14ac:dyDescent="0.25">
      <c r="A405" s="62"/>
      <c r="B405" s="62"/>
      <c r="C405" s="76"/>
      <c r="D405" s="77"/>
      <c r="E405" s="62"/>
      <c r="F405" s="83" t="str">
        <f t="shared" si="18"/>
        <v/>
      </c>
      <c r="G405" s="84" t="str">
        <f t="shared" si="19"/>
        <v/>
      </c>
      <c r="H405" s="84" t="str">
        <f t="shared" si="20"/>
        <v/>
      </c>
      <c r="I405" s="84" t="str">
        <f t="shared" si="21"/>
        <v/>
      </c>
      <c r="J405" s="84" t="str">
        <f t="shared" si="22"/>
        <v/>
      </c>
      <c r="K405" s="80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ht="15.75" customHeight="1" x14ac:dyDescent="0.25">
      <c r="A406" s="62"/>
      <c r="B406" s="62"/>
      <c r="C406" s="76"/>
      <c r="D406" s="77"/>
      <c r="E406" s="62"/>
      <c r="F406" s="83" t="str">
        <f t="shared" si="18"/>
        <v/>
      </c>
      <c r="G406" s="84" t="str">
        <f t="shared" si="19"/>
        <v/>
      </c>
      <c r="H406" s="84" t="str">
        <f t="shared" si="20"/>
        <v/>
      </c>
      <c r="I406" s="84" t="str">
        <f t="shared" si="21"/>
        <v/>
      </c>
      <c r="J406" s="84" t="str">
        <f t="shared" si="22"/>
        <v/>
      </c>
      <c r="K406" s="80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ht="15.75" customHeight="1" x14ac:dyDescent="0.25">
      <c r="A407" s="62"/>
      <c r="B407" s="62"/>
      <c r="C407" s="76"/>
      <c r="D407" s="77"/>
      <c r="E407" s="62"/>
      <c r="F407" s="83" t="str">
        <f t="shared" si="18"/>
        <v/>
      </c>
      <c r="G407" s="84" t="str">
        <f t="shared" si="19"/>
        <v/>
      </c>
      <c r="H407" s="84" t="str">
        <f t="shared" si="20"/>
        <v/>
      </c>
      <c r="I407" s="84" t="str">
        <f t="shared" si="21"/>
        <v/>
      </c>
      <c r="J407" s="84" t="str">
        <f t="shared" si="22"/>
        <v/>
      </c>
      <c r="K407" s="80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ht="15.75" customHeight="1" x14ac:dyDescent="0.25">
      <c r="A408" s="62"/>
      <c r="B408" s="62"/>
      <c r="C408" s="76"/>
      <c r="D408" s="77"/>
      <c r="E408" s="62"/>
      <c r="F408" s="83" t="str">
        <f t="shared" si="18"/>
        <v/>
      </c>
      <c r="G408" s="84" t="str">
        <f t="shared" si="19"/>
        <v/>
      </c>
      <c r="H408" s="84" t="str">
        <f t="shared" si="20"/>
        <v/>
      </c>
      <c r="I408" s="84" t="str">
        <f t="shared" si="21"/>
        <v/>
      </c>
      <c r="J408" s="84" t="str">
        <f t="shared" si="22"/>
        <v/>
      </c>
      <c r="K408" s="80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ht="15.75" customHeight="1" x14ac:dyDescent="0.25">
      <c r="A409" s="62"/>
      <c r="B409" s="62"/>
      <c r="C409" s="76"/>
      <c r="D409" s="77"/>
      <c r="E409" s="62"/>
      <c r="F409" s="83" t="str">
        <f t="shared" si="18"/>
        <v/>
      </c>
      <c r="G409" s="84" t="str">
        <f t="shared" si="19"/>
        <v/>
      </c>
      <c r="H409" s="84" t="str">
        <f t="shared" si="20"/>
        <v/>
      </c>
      <c r="I409" s="84" t="str">
        <f t="shared" si="21"/>
        <v/>
      </c>
      <c r="J409" s="84" t="str">
        <f t="shared" si="22"/>
        <v/>
      </c>
      <c r="K409" s="80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ht="15.75" customHeight="1" x14ac:dyDescent="0.25">
      <c r="A410" s="62"/>
      <c r="B410" s="62"/>
      <c r="C410" s="76"/>
      <c r="D410" s="77"/>
      <c r="E410" s="62"/>
      <c r="F410" s="83" t="str">
        <f t="shared" si="18"/>
        <v/>
      </c>
      <c r="G410" s="84" t="str">
        <f t="shared" si="19"/>
        <v/>
      </c>
      <c r="H410" s="84" t="str">
        <f t="shared" si="20"/>
        <v/>
      </c>
      <c r="I410" s="84" t="str">
        <f t="shared" si="21"/>
        <v/>
      </c>
      <c r="J410" s="84" t="str">
        <f t="shared" si="22"/>
        <v/>
      </c>
      <c r="K410" s="80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ht="15.75" customHeight="1" x14ac:dyDescent="0.25">
      <c r="A411" s="62"/>
      <c r="B411" s="62"/>
      <c r="C411" s="76"/>
      <c r="D411" s="77"/>
      <c r="E411" s="62"/>
      <c r="F411" s="83" t="str">
        <f t="shared" si="18"/>
        <v/>
      </c>
      <c r="G411" s="84" t="str">
        <f t="shared" si="19"/>
        <v/>
      </c>
      <c r="H411" s="84" t="str">
        <f t="shared" si="20"/>
        <v/>
      </c>
      <c r="I411" s="84" t="str">
        <f t="shared" si="21"/>
        <v/>
      </c>
      <c r="J411" s="84" t="str">
        <f t="shared" si="22"/>
        <v/>
      </c>
      <c r="K411" s="80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ht="15.75" customHeight="1" x14ac:dyDescent="0.25">
      <c r="A412" s="62"/>
      <c r="B412" s="62"/>
      <c r="C412" s="76"/>
      <c r="D412" s="77"/>
      <c r="E412" s="62"/>
      <c r="F412" s="83" t="str">
        <f t="shared" si="18"/>
        <v/>
      </c>
      <c r="G412" s="84" t="str">
        <f t="shared" si="19"/>
        <v/>
      </c>
      <c r="H412" s="84" t="str">
        <f t="shared" si="20"/>
        <v/>
      </c>
      <c r="I412" s="84" t="str">
        <f t="shared" si="21"/>
        <v/>
      </c>
      <c r="J412" s="84" t="str">
        <f t="shared" si="22"/>
        <v/>
      </c>
      <c r="K412" s="80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ht="15.75" customHeight="1" x14ac:dyDescent="0.25">
      <c r="A413" s="62"/>
      <c r="B413" s="62"/>
      <c r="C413" s="76"/>
      <c r="D413" s="77"/>
      <c r="E413" s="62"/>
      <c r="F413" s="83" t="str">
        <f t="shared" si="18"/>
        <v/>
      </c>
      <c r="G413" s="84" t="str">
        <f t="shared" si="19"/>
        <v/>
      </c>
      <c r="H413" s="84" t="str">
        <f t="shared" si="20"/>
        <v/>
      </c>
      <c r="I413" s="84" t="str">
        <f t="shared" si="21"/>
        <v/>
      </c>
      <c r="J413" s="84" t="str">
        <f t="shared" si="22"/>
        <v/>
      </c>
      <c r="K413" s="80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ht="15.75" customHeight="1" x14ac:dyDescent="0.25">
      <c r="A414" s="62"/>
      <c r="B414" s="62"/>
      <c r="C414" s="76"/>
      <c r="D414" s="77"/>
      <c r="E414" s="62"/>
      <c r="F414" s="83" t="str">
        <f t="shared" si="18"/>
        <v/>
      </c>
      <c r="G414" s="84" t="str">
        <f t="shared" si="19"/>
        <v/>
      </c>
      <c r="H414" s="84" t="str">
        <f t="shared" si="20"/>
        <v/>
      </c>
      <c r="I414" s="84" t="str">
        <f t="shared" si="21"/>
        <v/>
      </c>
      <c r="J414" s="84" t="str">
        <f t="shared" si="22"/>
        <v/>
      </c>
      <c r="K414" s="80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ht="15.75" customHeight="1" x14ac:dyDescent="0.25">
      <c r="A415" s="62"/>
      <c r="B415" s="62"/>
      <c r="C415" s="76"/>
      <c r="D415" s="77"/>
      <c r="E415" s="62"/>
      <c r="F415" s="83" t="str">
        <f t="shared" si="18"/>
        <v/>
      </c>
      <c r="G415" s="84" t="str">
        <f t="shared" si="19"/>
        <v/>
      </c>
      <c r="H415" s="84" t="str">
        <f t="shared" si="20"/>
        <v/>
      </c>
      <c r="I415" s="84" t="str">
        <f t="shared" si="21"/>
        <v/>
      </c>
      <c r="J415" s="84" t="str">
        <f t="shared" si="22"/>
        <v/>
      </c>
      <c r="K415" s="80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ht="15.75" customHeight="1" x14ac:dyDescent="0.25">
      <c r="A416" s="62"/>
      <c r="B416" s="62"/>
      <c r="C416" s="76"/>
      <c r="D416" s="77"/>
      <c r="E416" s="62"/>
      <c r="F416" s="83" t="str">
        <f t="shared" si="18"/>
        <v/>
      </c>
      <c r="G416" s="84" t="str">
        <f t="shared" si="19"/>
        <v/>
      </c>
      <c r="H416" s="84" t="str">
        <f t="shared" si="20"/>
        <v/>
      </c>
      <c r="I416" s="84" t="str">
        <f t="shared" si="21"/>
        <v/>
      </c>
      <c r="J416" s="84" t="str">
        <f t="shared" si="22"/>
        <v/>
      </c>
      <c r="K416" s="80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ht="15.75" customHeight="1" x14ac:dyDescent="0.25">
      <c r="A417" s="62"/>
      <c r="B417" s="62"/>
      <c r="C417" s="76"/>
      <c r="D417" s="77"/>
      <c r="E417" s="62"/>
      <c r="F417" s="83" t="str">
        <f t="shared" si="18"/>
        <v/>
      </c>
      <c r="G417" s="84" t="str">
        <f t="shared" si="19"/>
        <v/>
      </c>
      <c r="H417" s="84" t="str">
        <f t="shared" si="20"/>
        <v/>
      </c>
      <c r="I417" s="84" t="str">
        <f t="shared" si="21"/>
        <v/>
      </c>
      <c r="J417" s="84" t="str">
        <f t="shared" si="22"/>
        <v/>
      </c>
      <c r="K417" s="80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ht="15.75" customHeight="1" x14ac:dyDescent="0.25">
      <c r="A418" s="62"/>
      <c r="B418" s="62"/>
      <c r="C418" s="76"/>
      <c r="D418" s="77"/>
      <c r="E418" s="62"/>
      <c r="F418" s="83" t="str">
        <f t="shared" si="18"/>
        <v/>
      </c>
      <c r="G418" s="84" t="str">
        <f t="shared" si="19"/>
        <v/>
      </c>
      <c r="H418" s="84" t="str">
        <f t="shared" si="20"/>
        <v/>
      </c>
      <c r="I418" s="84" t="str">
        <f t="shared" si="21"/>
        <v/>
      </c>
      <c r="J418" s="84" t="str">
        <f t="shared" si="22"/>
        <v/>
      </c>
      <c r="K418" s="80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ht="15.75" customHeight="1" x14ac:dyDescent="0.25">
      <c r="A419" s="62"/>
      <c r="B419" s="62"/>
      <c r="C419" s="76"/>
      <c r="D419" s="77"/>
      <c r="E419" s="62"/>
      <c r="F419" s="83" t="str">
        <f t="shared" si="18"/>
        <v/>
      </c>
      <c r="G419" s="84" t="str">
        <f t="shared" si="19"/>
        <v/>
      </c>
      <c r="H419" s="84" t="str">
        <f t="shared" si="20"/>
        <v/>
      </c>
      <c r="I419" s="84" t="str">
        <f t="shared" si="21"/>
        <v/>
      </c>
      <c r="J419" s="84" t="str">
        <f t="shared" si="22"/>
        <v/>
      </c>
      <c r="K419" s="80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ht="15.75" customHeight="1" x14ac:dyDescent="0.25">
      <c r="A420" s="62"/>
      <c r="B420" s="62"/>
      <c r="C420" s="76"/>
      <c r="D420" s="77"/>
      <c r="E420" s="62"/>
      <c r="F420" s="83" t="str">
        <f t="shared" si="18"/>
        <v/>
      </c>
      <c r="G420" s="84" t="str">
        <f t="shared" si="19"/>
        <v/>
      </c>
      <c r="H420" s="84" t="str">
        <f t="shared" si="20"/>
        <v/>
      </c>
      <c r="I420" s="84" t="str">
        <f t="shared" si="21"/>
        <v/>
      </c>
      <c r="J420" s="84" t="str">
        <f t="shared" si="22"/>
        <v/>
      </c>
      <c r="K420" s="80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ht="15.75" customHeight="1" x14ac:dyDescent="0.25">
      <c r="A421" s="62"/>
      <c r="B421" s="62"/>
      <c r="C421" s="76"/>
      <c r="D421" s="77"/>
      <c r="E421" s="62"/>
      <c r="F421" s="83" t="str">
        <f t="shared" si="18"/>
        <v/>
      </c>
      <c r="G421" s="84" t="str">
        <f t="shared" si="19"/>
        <v/>
      </c>
      <c r="H421" s="84" t="str">
        <f t="shared" si="20"/>
        <v/>
      </c>
      <c r="I421" s="84" t="str">
        <f t="shared" si="21"/>
        <v/>
      </c>
      <c r="J421" s="84" t="str">
        <f t="shared" si="22"/>
        <v/>
      </c>
      <c r="K421" s="80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ht="15.75" customHeight="1" x14ac:dyDescent="0.25">
      <c r="A422" s="62"/>
      <c r="B422" s="62"/>
      <c r="C422" s="76"/>
      <c r="D422" s="77"/>
      <c r="E422" s="62"/>
      <c r="F422" s="83" t="str">
        <f t="shared" si="18"/>
        <v/>
      </c>
      <c r="G422" s="84" t="str">
        <f t="shared" si="19"/>
        <v/>
      </c>
      <c r="H422" s="84" t="str">
        <f t="shared" si="20"/>
        <v/>
      </c>
      <c r="I422" s="84" t="str">
        <f t="shared" si="21"/>
        <v/>
      </c>
      <c r="J422" s="84" t="str">
        <f t="shared" si="22"/>
        <v/>
      </c>
      <c r="K422" s="80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ht="15.75" customHeight="1" x14ac:dyDescent="0.25">
      <c r="A423" s="62"/>
      <c r="B423" s="62"/>
      <c r="C423" s="76"/>
      <c r="D423" s="77"/>
      <c r="E423" s="62"/>
      <c r="F423" s="83" t="str">
        <f t="shared" si="18"/>
        <v/>
      </c>
      <c r="G423" s="84" t="str">
        <f t="shared" si="19"/>
        <v/>
      </c>
      <c r="H423" s="84" t="str">
        <f t="shared" si="20"/>
        <v/>
      </c>
      <c r="I423" s="84" t="str">
        <f t="shared" si="21"/>
        <v/>
      </c>
      <c r="J423" s="84" t="str">
        <f t="shared" si="22"/>
        <v/>
      </c>
      <c r="K423" s="80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ht="15.75" customHeight="1" x14ac:dyDescent="0.25">
      <c r="A424" s="62"/>
      <c r="B424" s="62"/>
      <c r="C424" s="76"/>
      <c r="D424" s="77"/>
      <c r="E424" s="62"/>
      <c r="F424" s="83" t="str">
        <f t="shared" si="18"/>
        <v/>
      </c>
      <c r="G424" s="84" t="str">
        <f t="shared" si="19"/>
        <v/>
      </c>
      <c r="H424" s="84" t="str">
        <f t="shared" si="20"/>
        <v/>
      </c>
      <c r="I424" s="84" t="str">
        <f t="shared" si="21"/>
        <v/>
      </c>
      <c r="J424" s="84" t="str">
        <f t="shared" si="22"/>
        <v/>
      </c>
      <c r="K424" s="80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ht="15.75" customHeight="1" x14ac:dyDescent="0.25">
      <c r="A425" s="62"/>
      <c r="B425" s="62"/>
      <c r="C425" s="76"/>
      <c r="D425" s="77"/>
      <c r="E425" s="62"/>
      <c r="F425" s="83" t="str">
        <f t="shared" si="18"/>
        <v/>
      </c>
      <c r="G425" s="84" t="str">
        <f t="shared" si="19"/>
        <v/>
      </c>
      <c r="H425" s="84" t="str">
        <f t="shared" si="20"/>
        <v/>
      </c>
      <c r="I425" s="84" t="str">
        <f t="shared" si="21"/>
        <v/>
      </c>
      <c r="J425" s="84" t="str">
        <f t="shared" si="22"/>
        <v/>
      </c>
      <c r="K425" s="80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ht="15.75" customHeight="1" x14ac:dyDescent="0.25">
      <c r="A426" s="62"/>
      <c r="B426" s="62"/>
      <c r="C426" s="76"/>
      <c r="D426" s="77"/>
      <c r="E426" s="62"/>
      <c r="F426" s="83" t="str">
        <f t="shared" si="18"/>
        <v/>
      </c>
      <c r="G426" s="84" t="str">
        <f t="shared" si="19"/>
        <v/>
      </c>
      <c r="H426" s="84" t="str">
        <f t="shared" si="20"/>
        <v/>
      </c>
      <c r="I426" s="84" t="str">
        <f t="shared" si="21"/>
        <v/>
      </c>
      <c r="J426" s="84" t="str">
        <f t="shared" si="22"/>
        <v/>
      </c>
      <c r="K426" s="80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ht="15.75" customHeight="1" x14ac:dyDescent="0.25">
      <c r="A427" s="62"/>
      <c r="B427" s="62"/>
      <c r="C427" s="76"/>
      <c r="D427" s="77"/>
      <c r="E427" s="62"/>
      <c r="F427" s="83" t="str">
        <f t="shared" si="18"/>
        <v/>
      </c>
      <c r="G427" s="84" t="str">
        <f t="shared" si="19"/>
        <v/>
      </c>
      <c r="H427" s="84" t="str">
        <f t="shared" si="20"/>
        <v/>
      </c>
      <c r="I427" s="84" t="str">
        <f t="shared" si="21"/>
        <v/>
      </c>
      <c r="J427" s="84" t="str">
        <f t="shared" si="22"/>
        <v/>
      </c>
      <c r="K427" s="80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ht="15.75" customHeight="1" x14ac:dyDescent="0.25">
      <c r="A428" s="62"/>
      <c r="B428" s="62"/>
      <c r="C428" s="76"/>
      <c r="D428" s="77"/>
      <c r="E428" s="62"/>
      <c r="F428" s="83" t="str">
        <f t="shared" si="18"/>
        <v/>
      </c>
      <c r="G428" s="84" t="str">
        <f t="shared" si="19"/>
        <v/>
      </c>
      <c r="H428" s="84" t="str">
        <f t="shared" si="20"/>
        <v/>
      </c>
      <c r="I428" s="84" t="str">
        <f t="shared" si="21"/>
        <v/>
      </c>
      <c r="J428" s="84" t="str">
        <f t="shared" si="22"/>
        <v/>
      </c>
      <c r="K428" s="80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ht="15.75" customHeight="1" x14ac:dyDescent="0.25">
      <c r="A429" s="62"/>
      <c r="B429" s="62"/>
      <c r="C429" s="76"/>
      <c r="D429" s="77"/>
      <c r="E429" s="62"/>
      <c r="F429" s="83" t="str">
        <f t="shared" si="18"/>
        <v/>
      </c>
      <c r="G429" s="84" t="str">
        <f t="shared" si="19"/>
        <v/>
      </c>
      <c r="H429" s="84" t="str">
        <f t="shared" si="20"/>
        <v/>
      </c>
      <c r="I429" s="84" t="str">
        <f t="shared" si="21"/>
        <v/>
      </c>
      <c r="J429" s="84" t="str">
        <f t="shared" si="22"/>
        <v/>
      </c>
      <c r="K429" s="80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spans="1:26" ht="15.75" customHeight="1" x14ac:dyDescent="0.25">
      <c r="A430" s="62"/>
      <c r="B430" s="62"/>
      <c r="C430" s="76"/>
      <c r="D430" s="77"/>
      <c r="E430" s="62"/>
      <c r="F430" s="83" t="str">
        <f t="shared" si="18"/>
        <v/>
      </c>
      <c r="G430" s="84" t="str">
        <f t="shared" si="19"/>
        <v/>
      </c>
      <c r="H430" s="84" t="str">
        <f t="shared" si="20"/>
        <v/>
      </c>
      <c r="I430" s="84" t="str">
        <f t="shared" si="21"/>
        <v/>
      </c>
      <c r="J430" s="84" t="str">
        <f t="shared" si="22"/>
        <v/>
      </c>
      <c r="K430" s="80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spans="1:26" ht="15.75" customHeight="1" x14ac:dyDescent="0.25">
      <c r="A431" s="62"/>
      <c r="B431" s="62"/>
      <c r="C431" s="76"/>
      <c r="D431" s="77"/>
      <c r="E431" s="62"/>
      <c r="F431" s="83" t="str">
        <f t="shared" si="18"/>
        <v/>
      </c>
      <c r="G431" s="84" t="str">
        <f t="shared" si="19"/>
        <v/>
      </c>
      <c r="H431" s="84" t="str">
        <f t="shared" si="20"/>
        <v/>
      </c>
      <c r="I431" s="84" t="str">
        <f t="shared" si="21"/>
        <v/>
      </c>
      <c r="J431" s="84" t="str">
        <f t="shared" si="22"/>
        <v/>
      </c>
      <c r="K431" s="80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spans="1:26" ht="15.75" customHeight="1" x14ac:dyDescent="0.25">
      <c r="A432" s="62"/>
      <c r="B432" s="62"/>
      <c r="C432" s="76"/>
      <c r="D432" s="77"/>
      <c r="E432" s="62"/>
      <c r="F432" s="83" t="str">
        <f t="shared" si="18"/>
        <v/>
      </c>
      <c r="G432" s="84" t="str">
        <f t="shared" si="19"/>
        <v/>
      </c>
      <c r="H432" s="84" t="str">
        <f t="shared" si="20"/>
        <v/>
      </c>
      <c r="I432" s="84" t="str">
        <f t="shared" si="21"/>
        <v/>
      </c>
      <c r="J432" s="84" t="str">
        <f t="shared" si="22"/>
        <v/>
      </c>
      <c r="K432" s="80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spans="1:26" ht="15.75" customHeight="1" x14ac:dyDescent="0.25">
      <c r="A433" s="62"/>
      <c r="B433" s="62"/>
      <c r="C433" s="76"/>
      <c r="D433" s="77"/>
      <c r="E433" s="62"/>
      <c r="F433" s="83" t="str">
        <f t="shared" si="18"/>
        <v/>
      </c>
      <c r="G433" s="84" t="str">
        <f t="shared" si="19"/>
        <v/>
      </c>
      <c r="H433" s="84" t="str">
        <f t="shared" si="20"/>
        <v/>
      </c>
      <c r="I433" s="84" t="str">
        <f t="shared" si="21"/>
        <v/>
      </c>
      <c r="J433" s="84" t="str">
        <f t="shared" si="22"/>
        <v/>
      </c>
      <c r="K433" s="80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spans="1:26" ht="15.75" customHeight="1" x14ac:dyDescent="0.25">
      <c r="A434" s="62"/>
      <c r="B434" s="62"/>
      <c r="C434" s="76"/>
      <c r="D434" s="77"/>
      <c r="E434" s="62"/>
      <c r="F434" s="83" t="str">
        <f t="shared" si="18"/>
        <v/>
      </c>
      <c r="G434" s="84" t="str">
        <f t="shared" si="19"/>
        <v/>
      </c>
      <c r="H434" s="84" t="str">
        <f t="shared" si="20"/>
        <v/>
      </c>
      <c r="I434" s="84" t="str">
        <f t="shared" si="21"/>
        <v/>
      </c>
      <c r="J434" s="84" t="str">
        <f t="shared" si="22"/>
        <v/>
      </c>
      <c r="K434" s="80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spans="1:26" ht="15.75" customHeight="1" x14ac:dyDescent="0.25">
      <c r="A435" s="62"/>
      <c r="B435" s="62"/>
      <c r="C435" s="76"/>
      <c r="D435" s="77"/>
      <c r="E435" s="62"/>
      <c r="F435" s="83" t="str">
        <f t="shared" si="18"/>
        <v/>
      </c>
      <c r="G435" s="84" t="str">
        <f t="shared" si="19"/>
        <v/>
      </c>
      <c r="H435" s="84" t="str">
        <f t="shared" si="20"/>
        <v/>
      </c>
      <c r="I435" s="84" t="str">
        <f t="shared" si="21"/>
        <v/>
      </c>
      <c r="J435" s="84" t="str">
        <f t="shared" si="22"/>
        <v/>
      </c>
      <c r="K435" s="80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spans="1:26" ht="15.75" customHeight="1" x14ac:dyDescent="0.25">
      <c r="A436" s="62"/>
      <c r="B436" s="62"/>
      <c r="C436" s="76"/>
      <c r="D436" s="77"/>
      <c r="E436" s="62"/>
      <c r="F436" s="83" t="str">
        <f t="shared" si="18"/>
        <v/>
      </c>
      <c r="G436" s="84" t="str">
        <f t="shared" si="19"/>
        <v/>
      </c>
      <c r="H436" s="84" t="str">
        <f t="shared" si="20"/>
        <v/>
      </c>
      <c r="I436" s="84" t="str">
        <f t="shared" si="21"/>
        <v/>
      </c>
      <c r="J436" s="84" t="str">
        <f t="shared" si="22"/>
        <v/>
      </c>
      <c r="K436" s="80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spans="1:26" ht="15.75" customHeight="1" x14ac:dyDescent="0.25">
      <c r="A437" s="62"/>
      <c r="B437" s="62"/>
      <c r="C437" s="76"/>
      <c r="D437" s="77"/>
      <c r="E437" s="62"/>
      <c r="F437" s="83" t="str">
        <f t="shared" si="18"/>
        <v/>
      </c>
      <c r="G437" s="84" t="str">
        <f t="shared" si="19"/>
        <v/>
      </c>
      <c r="H437" s="84" t="str">
        <f t="shared" si="20"/>
        <v/>
      </c>
      <c r="I437" s="84" t="str">
        <f t="shared" si="21"/>
        <v/>
      </c>
      <c r="J437" s="84" t="str">
        <f t="shared" si="22"/>
        <v/>
      </c>
      <c r="K437" s="80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spans="1:26" ht="15.75" customHeight="1" x14ac:dyDescent="0.25">
      <c r="A438" s="62"/>
      <c r="B438" s="62"/>
      <c r="C438" s="76"/>
      <c r="D438" s="77"/>
      <c r="E438" s="62"/>
      <c r="F438" s="83" t="str">
        <f t="shared" si="18"/>
        <v/>
      </c>
      <c r="G438" s="84" t="str">
        <f t="shared" si="19"/>
        <v/>
      </c>
      <c r="H438" s="84" t="str">
        <f t="shared" si="20"/>
        <v/>
      </c>
      <c r="I438" s="84" t="str">
        <f t="shared" si="21"/>
        <v/>
      </c>
      <c r="J438" s="84" t="str">
        <f t="shared" si="22"/>
        <v/>
      </c>
      <c r="K438" s="80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spans="1:26" ht="15.75" customHeight="1" x14ac:dyDescent="0.25">
      <c r="A439" s="62"/>
      <c r="B439" s="62"/>
      <c r="C439" s="76"/>
      <c r="D439" s="77"/>
      <c r="E439" s="62"/>
      <c r="F439" s="83" t="str">
        <f t="shared" si="18"/>
        <v/>
      </c>
      <c r="G439" s="84" t="str">
        <f t="shared" si="19"/>
        <v/>
      </c>
      <c r="H439" s="84" t="str">
        <f t="shared" si="20"/>
        <v/>
      </c>
      <c r="I439" s="84" t="str">
        <f t="shared" si="21"/>
        <v/>
      </c>
      <c r="J439" s="84" t="str">
        <f t="shared" si="22"/>
        <v/>
      </c>
      <c r="K439" s="80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spans="1:26" ht="15.75" customHeight="1" x14ac:dyDescent="0.25">
      <c r="A440" s="62"/>
      <c r="B440" s="62"/>
      <c r="C440" s="76"/>
      <c r="D440" s="77"/>
      <c r="E440" s="62"/>
      <c r="F440" s="83" t="str">
        <f t="shared" si="18"/>
        <v/>
      </c>
      <c r="G440" s="84" t="str">
        <f t="shared" si="19"/>
        <v/>
      </c>
      <c r="H440" s="84" t="str">
        <f t="shared" si="20"/>
        <v/>
      </c>
      <c r="I440" s="84" t="str">
        <f t="shared" si="21"/>
        <v/>
      </c>
      <c r="J440" s="84" t="str">
        <f t="shared" si="22"/>
        <v/>
      </c>
      <c r="K440" s="80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spans="1:26" ht="15.75" customHeight="1" x14ac:dyDescent="0.25">
      <c r="A441" s="62"/>
      <c r="B441" s="62"/>
      <c r="C441" s="76"/>
      <c r="D441" s="77"/>
      <c r="E441" s="62"/>
      <c r="F441" s="83" t="str">
        <f t="shared" si="18"/>
        <v/>
      </c>
      <c r="G441" s="84" t="str">
        <f t="shared" si="19"/>
        <v/>
      </c>
      <c r="H441" s="84" t="str">
        <f t="shared" si="20"/>
        <v/>
      </c>
      <c r="I441" s="84" t="str">
        <f t="shared" si="21"/>
        <v/>
      </c>
      <c r="J441" s="84" t="str">
        <f t="shared" si="22"/>
        <v/>
      </c>
      <c r="K441" s="80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spans="1:26" ht="15.75" customHeight="1" x14ac:dyDescent="0.25">
      <c r="A442" s="62"/>
      <c r="B442" s="62"/>
      <c r="C442" s="76"/>
      <c r="D442" s="77"/>
      <c r="E442" s="62"/>
      <c r="F442" s="83" t="str">
        <f t="shared" si="18"/>
        <v/>
      </c>
      <c r="G442" s="84" t="str">
        <f t="shared" si="19"/>
        <v/>
      </c>
      <c r="H442" s="84" t="str">
        <f t="shared" si="20"/>
        <v/>
      </c>
      <c r="I442" s="84" t="str">
        <f t="shared" si="21"/>
        <v/>
      </c>
      <c r="J442" s="84" t="str">
        <f t="shared" si="22"/>
        <v/>
      </c>
      <c r="K442" s="80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spans="1:26" ht="15.75" customHeight="1" x14ac:dyDescent="0.25">
      <c r="A443" s="62"/>
      <c r="B443" s="62"/>
      <c r="C443" s="76"/>
      <c r="D443" s="77"/>
      <c r="E443" s="62"/>
      <c r="F443" s="83" t="str">
        <f t="shared" si="18"/>
        <v/>
      </c>
      <c r="G443" s="84" t="str">
        <f t="shared" si="19"/>
        <v/>
      </c>
      <c r="H443" s="84" t="str">
        <f t="shared" si="20"/>
        <v/>
      </c>
      <c r="I443" s="84" t="str">
        <f t="shared" si="21"/>
        <v/>
      </c>
      <c r="J443" s="84" t="str">
        <f t="shared" si="22"/>
        <v/>
      </c>
      <c r="K443" s="80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spans="1:26" ht="15.75" customHeight="1" x14ac:dyDescent="0.25">
      <c r="A444" s="62"/>
      <c r="B444" s="62"/>
      <c r="C444" s="76"/>
      <c r="D444" s="77"/>
      <c r="E444" s="62"/>
      <c r="F444" s="83" t="str">
        <f t="shared" si="18"/>
        <v/>
      </c>
      <c r="G444" s="84" t="str">
        <f t="shared" si="19"/>
        <v/>
      </c>
      <c r="H444" s="84" t="str">
        <f t="shared" si="20"/>
        <v/>
      </c>
      <c r="I444" s="84" t="str">
        <f t="shared" si="21"/>
        <v/>
      </c>
      <c r="J444" s="84" t="str">
        <f t="shared" si="22"/>
        <v/>
      </c>
      <c r="K444" s="80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spans="1:26" ht="15.75" customHeight="1" x14ac:dyDescent="0.25">
      <c r="A445" s="62"/>
      <c r="B445" s="62"/>
      <c r="C445" s="76"/>
      <c r="D445" s="77"/>
      <c r="E445" s="62"/>
      <c r="F445" s="83" t="str">
        <f t="shared" si="18"/>
        <v/>
      </c>
      <c r="G445" s="84" t="str">
        <f t="shared" si="19"/>
        <v/>
      </c>
      <c r="H445" s="84" t="str">
        <f t="shared" si="20"/>
        <v/>
      </c>
      <c r="I445" s="84" t="str">
        <f t="shared" si="21"/>
        <v/>
      </c>
      <c r="J445" s="84" t="str">
        <f t="shared" si="22"/>
        <v/>
      </c>
      <c r="K445" s="80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spans="1:26" ht="15.75" customHeight="1" x14ac:dyDescent="0.25">
      <c r="A446" s="62"/>
      <c r="B446" s="62"/>
      <c r="C446" s="76"/>
      <c r="D446" s="77"/>
      <c r="E446" s="62"/>
      <c r="F446" s="83" t="str">
        <f t="shared" si="18"/>
        <v/>
      </c>
      <c r="G446" s="84" t="str">
        <f t="shared" si="19"/>
        <v/>
      </c>
      <c r="H446" s="84" t="str">
        <f t="shared" si="20"/>
        <v/>
      </c>
      <c r="I446" s="84" t="str">
        <f t="shared" si="21"/>
        <v/>
      </c>
      <c r="J446" s="84" t="str">
        <f t="shared" si="22"/>
        <v/>
      </c>
      <c r="K446" s="80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spans="1:26" ht="15.75" customHeight="1" x14ac:dyDescent="0.25">
      <c r="A447" s="62"/>
      <c r="B447" s="62"/>
      <c r="C447" s="76"/>
      <c r="D447" s="77"/>
      <c r="E447" s="62"/>
      <c r="F447" s="83" t="str">
        <f t="shared" si="18"/>
        <v/>
      </c>
      <c r="G447" s="84" t="str">
        <f t="shared" si="19"/>
        <v/>
      </c>
      <c r="H447" s="84" t="str">
        <f t="shared" si="20"/>
        <v/>
      </c>
      <c r="I447" s="84" t="str">
        <f t="shared" si="21"/>
        <v/>
      </c>
      <c r="J447" s="84" t="str">
        <f t="shared" si="22"/>
        <v/>
      </c>
      <c r="K447" s="80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spans="1:26" ht="15.75" customHeight="1" x14ac:dyDescent="0.25">
      <c r="A448" s="62"/>
      <c r="B448" s="62"/>
      <c r="C448" s="76"/>
      <c r="D448" s="77"/>
      <c r="E448" s="62"/>
      <c r="F448" s="83" t="str">
        <f t="shared" si="18"/>
        <v/>
      </c>
      <c r="G448" s="84" t="str">
        <f t="shared" si="19"/>
        <v/>
      </c>
      <c r="H448" s="84" t="str">
        <f t="shared" si="20"/>
        <v/>
      </c>
      <c r="I448" s="84" t="str">
        <f t="shared" si="21"/>
        <v/>
      </c>
      <c r="J448" s="84" t="str">
        <f t="shared" si="22"/>
        <v/>
      </c>
      <c r="K448" s="80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spans="1:26" ht="15.75" customHeight="1" x14ac:dyDescent="0.25">
      <c r="A449" s="62"/>
      <c r="B449" s="62"/>
      <c r="C449" s="76"/>
      <c r="D449" s="77"/>
      <c r="E449" s="62"/>
      <c r="F449" s="83" t="str">
        <f t="shared" si="18"/>
        <v/>
      </c>
      <c r="G449" s="84" t="str">
        <f t="shared" si="19"/>
        <v/>
      </c>
      <c r="H449" s="84" t="str">
        <f t="shared" si="20"/>
        <v/>
      </c>
      <c r="I449" s="84" t="str">
        <f t="shared" si="21"/>
        <v/>
      </c>
      <c r="J449" s="84" t="str">
        <f t="shared" si="22"/>
        <v/>
      </c>
      <c r="K449" s="80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spans="1:26" ht="15.75" customHeight="1" x14ac:dyDescent="0.25">
      <c r="A450" s="62"/>
      <c r="B450" s="62"/>
      <c r="C450" s="76"/>
      <c r="D450" s="77"/>
      <c r="E450" s="62"/>
      <c r="F450" s="83" t="str">
        <f t="shared" si="18"/>
        <v/>
      </c>
      <c r="G450" s="84" t="str">
        <f t="shared" si="19"/>
        <v/>
      </c>
      <c r="H450" s="84" t="str">
        <f t="shared" si="20"/>
        <v/>
      </c>
      <c r="I450" s="84" t="str">
        <f t="shared" si="21"/>
        <v/>
      </c>
      <c r="J450" s="84" t="str">
        <f t="shared" si="22"/>
        <v/>
      </c>
      <c r="K450" s="80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spans="1:26" ht="15.75" customHeight="1" x14ac:dyDescent="0.25">
      <c r="A451" s="62"/>
      <c r="B451" s="62"/>
      <c r="C451" s="76"/>
      <c r="D451" s="77"/>
      <c r="E451" s="62"/>
      <c r="F451" s="83" t="str">
        <f t="shared" si="18"/>
        <v/>
      </c>
      <c r="G451" s="84" t="str">
        <f t="shared" si="19"/>
        <v/>
      </c>
      <c r="H451" s="84" t="str">
        <f t="shared" si="20"/>
        <v/>
      </c>
      <c r="I451" s="84" t="str">
        <f t="shared" si="21"/>
        <v/>
      </c>
      <c r="J451" s="84" t="str">
        <f t="shared" si="22"/>
        <v/>
      </c>
      <c r="K451" s="80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spans="1:26" ht="15.75" customHeight="1" x14ac:dyDescent="0.25">
      <c r="A452" s="62"/>
      <c r="B452" s="62"/>
      <c r="C452" s="76"/>
      <c r="D452" s="77"/>
      <c r="E452" s="62"/>
      <c r="F452" s="83" t="str">
        <f t="shared" si="18"/>
        <v/>
      </c>
      <c r="G452" s="84" t="str">
        <f t="shared" si="19"/>
        <v/>
      </c>
      <c r="H452" s="84" t="str">
        <f t="shared" si="20"/>
        <v/>
      </c>
      <c r="I452" s="84" t="str">
        <f t="shared" si="21"/>
        <v/>
      </c>
      <c r="J452" s="84" t="str">
        <f t="shared" si="22"/>
        <v/>
      </c>
      <c r="K452" s="80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spans="1:26" ht="15.75" customHeight="1" x14ac:dyDescent="0.25">
      <c r="A453" s="62"/>
      <c r="B453" s="62"/>
      <c r="C453" s="76"/>
      <c r="D453" s="77"/>
      <c r="E453" s="62"/>
      <c r="F453" s="83" t="str">
        <f t="shared" si="18"/>
        <v/>
      </c>
      <c r="G453" s="84" t="str">
        <f t="shared" si="19"/>
        <v/>
      </c>
      <c r="H453" s="84" t="str">
        <f t="shared" si="20"/>
        <v/>
      </c>
      <c r="I453" s="84" t="str">
        <f t="shared" si="21"/>
        <v/>
      </c>
      <c r="J453" s="84" t="str">
        <f t="shared" si="22"/>
        <v/>
      </c>
      <c r="K453" s="80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spans="1:26" ht="15.75" customHeight="1" x14ac:dyDescent="0.25">
      <c r="A454" s="62"/>
      <c r="B454" s="62"/>
      <c r="C454" s="76"/>
      <c r="D454" s="77"/>
      <c r="E454" s="62"/>
      <c r="F454" s="83" t="str">
        <f t="shared" si="18"/>
        <v/>
      </c>
      <c r="G454" s="84" t="str">
        <f t="shared" si="19"/>
        <v/>
      </c>
      <c r="H454" s="84" t="str">
        <f t="shared" si="20"/>
        <v/>
      </c>
      <c r="I454" s="84" t="str">
        <f t="shared" si="21"/>
        <v/>
      </c>
      <c r="J454" s="84" t="str">
        <f t="shared" si="22"/>
        <v/>
      </c>
      <c r="K454" s="80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spans="1:26" ht="15.75" customHeight="1" x14ac:dyDescent="0.25">
      <c r="A455" s="62"/>
      <c r="B455" s="62"/>
      <c r="C455" s="76"/>
      <c r="D455" s="77"/>
      <c r="E455" s="62"/>
      <c r="F455" s="83" t="str">
        <f t="shared" si="18"/>
        <v/>
      </c>
      <c r="G455" s="84" t="str">
        <f t="shared" si="19"/>
        <v/>
      </c>
      <c r="H455" s="84" t="str">
        <f t="shared" si="20"/>
        <v/>
      </c>
      <c r="I455" s="84" t="str">
        <f t="shared" si="21"/>
        <v/>
      </c>
      <c r="J455" s="84" t="str">
        <f t="shared" si="22"/>
        <v/>
      </c>
      <c r="K455" s="80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spans="1:26" ht="15.75" customHeight="1" x14ac:dyDescent="0.25">
      <c r="A456" s="62"/>
      <c r="B456" s="62"/>
      <c r="C456" s="76"/>
      <c r="D456" s="77"/>
      <c r="E456" s="62"/>
      <c r="F456" s="83" t="str">
        <f t="shared" si="18"/>
        <v/>
      </c>
      <c r="G456" s="84" t="str">
        <f t="shared" si="19"/>
        <v/>
      </c>
      <c r="H456" s="84" t="str">
        <f t="shared" si="20"/>
        <v/>
      </c>
      <c r="I456" s="84" t="str">
        <f t="shared" si="21"/>
        <v/>
      </c>
      <c r="J456" s="84" t="str">
        <f t="shared" si="22"/>
        <v/>
      </c>
      <c r="K456" s="80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spans="1:26" ht="15.75" customHeight="1" x14ac:dyDescent="0.25">
      <c r="A457" s="62"/>
      <c r="B457" s="62"/>
      <c r="C457" s="76"/>
      <c r="D457" s="77"/>
      <c r="E457" s="62"/>
      <c r="F457" s="83" t="str">
        <f t="shared" si="18"/>
        <v/>
      </c>
      <c r="G457" s="84" t="str">
        <f t="shared" si="19"/>
        <v/>
      </c>
      <c r="H457" s="84" t="str">
        <f t="shared" si="20"/>
        <v/>
      </c>
      <c r="I457" s="84" t="str">
        <f t="shared" si="21"/>
        <v/>
      </c>
      <c r="J457" s="84" t="str">
        <f t="shared" si="22"/>
        <v/>
      </c>
      <c r="K457" s="80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spans="1:26" ht="15.75" customHeight="1" x14ac:dyDescent="0.25">
      <c r="A458" s="62"/>
      <c r="B458" s="62"/>
      <c r="C458" s="76"/>
      <c r="D458" s="77"/>
      <c r="E458" s="62"/>
      <c r="F458" s="83" t="str">
        <f t="shared" si="18"/>
        <v/>
      </c>
      <c r="G458" s="84" t="str">
        <f t="shared" si="19"/>
        <v/>
      </c>
      <c r="H458" s="84" t="str">
        <f t="shared" si="20"/>
        <v/>
      </c>
      <c r="I458" s="84" t="str">
        <f t="shared" si="21"/>
        <v/>
      </c>
      <c r="J458" s="84" t="str">
        <f t="shared" si="22"/>
        <v/>
      </c>
      <c r="K458" s="80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spans="1:26" ht="15.75" customHeight="1" x14ac:dyDescent="0.25">
      <c r="A459" s="62"/>
      <c r="B459" s="62"/>
      <c r="C459" s="76"/>
      <c r="D459" s="77"/>
      <c r="E459" s="62"/>
      <c r="F459" s="83" t="str">
        <f t="shared" si="18"/>
        <v/>
      </c>
      <c r="G459" s="84" t="str">
        <f t="shared" si="19"/>
        <v/>
      </c>
      <c r="H459" s="84" t="str">
        <f t="shared" si="20"/>
        <v/>
      </c>
      <c r="I459" s="84" t="str">
        <f t="shared" si="21"/>
        <v/>
      </c>
      <c r="J459" s="84" t="str">
        <f t="shared" si="22"/>
        <v/>
      </c>
      <c r="K459" s="80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spans="1:26" ht="15.75" customHeight="1" x14ac:dyDescent="0.25">
      <c r="A460" s="62"/>
      <c r="B460" s="62"/>
      <c r="C460" s="76"/>
      <c r="D460" s="77"/>
      <c r="E460" s="62"/>
      <c r="F460" s="83" t="str">
        <f t="shared" si="18"/>
        <v/>
      </c>
      <c r="G460" s="84" t="str">
        <f t="shared" si="19"/>
        <v/>
      </c>
      <c r="H460" s="84" t="str">
        <f t="shared" si="20"/>
        <v/>
      </c>
      <c r="I460" s="84" t="str">
        <f t="shared" si="21"/>
        <v/>
      </c>
      <c r="J460" s="84" t="str">
        <f t="shared" si="22"/>
        <v/>
      </c>
      <c r="K460" s="80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spans="1:26" ht="15.75" customHeight="1" x14ac:dyDescent="0.25">
      <c r="A461" s="62"/>
      <c r="B461" s="62"/>
      <c r="C461" s="76"/>
      <c r="D461" s="77"/>
      <c r="E461" s="62"/>
      <c r="F461" s="83" t="str">
        <f t="shared" si="18"/>
        <v/>
      </c>
      <c r="G461" s="84" t="str">
        <f t="shared" si="19"/>
        <v/>
      </c>
      <c r="H461" s="84" t="str">
        <f t="shared" si="20"/>
        <v/>
      </c>
      <c r="I461" s="84" t="str">
        <f t="shared" si="21"/>
        <v/>
      </c>
      <c r="J461" s="84" t="str">
        <f t="shared" si="22"/>
        <v/>
      </c>
      <c r="K461" s="80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spans="1:26" ht="15.75" customHeight="1" x14ac:dyDescent="0.25">
      <c r="A462" s="62"/>
      <c r="B462" s="62"/>
      <c r="C462" s="76"/>
      <c r="D462" s="77"/>
      <c r="E462" s="62"/>
      <c r="F462" s="83" t="str">
        <f t="shared" si="18"/>
        <v/>
      </c>
      <c r="G462" s="84" t="str">
        <f t="shared" si="19"/>
        <v/>
      </c>
      <c r="H462" s="84" t="str">
        <f t="shared" si="20"/>
        <v/>
      </c>
      <c r="I462" s="84" t="str">
        <f t="shared" si="21"/>
        <v/>
      </c>
      <c r="J462" s="84" t="str">
        <f t="shared" si="22"/>
        <v/>
      </c>
      <c r="K462" s="80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spans="1:26" ht="15.75" customHeight="1" x14ac:dyDescent="0.25">
      <c r="A463" s="62"/>
      <c r="B463" s="62"/>
      <c r="C463" s="76"/>
      <c r="D463" s="77"/>
      <c r="E463" s="62"/>
      <c r="F463" s="83" t="str">
        <f t="shared" si="18"/>
        <v/>
      </c>
      <c r="G463" s="84" t="str">
        <f t="shared" si="19"/>
        <v/>
      </c>
      <c r="H463" s="84" t="str">
        <f t="shared" si="20"/>
        <v/>
      </c>
      <c r="I463" s="84" t="str">
        <f t="shared" si="21"/>
        <v/>
      </c>
      <c r="J463" s="84" t="str">
        <f t="shared" si="22"/>
        <v/>
      </c>
      <c r="K463" s="80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spans="1:26" ht="15.75" customHeight="1" x14ac:dyDescent="0.25">
      <c r="A464" s="62"/>
      <c r="B464" s="62"/>
      <c r="C464" s="76"/>
      <c r="D464" s="77"/>
      <c r="E464" s="62"/>
      <c r="F464" s="83" t="str">
        <f t="shared" si="18"/>
        <v/>
      </c>
      <c r="G464" s="84" t="str">
        <f t="shared" si="19"/>
        <v/>
      </c>
      <c r="H464" s="84" t="str">
        <f t="shared" si="20"/>
        <v/>
      </c>
      <c r="I464" s="84" t="str">
        <f t="shared" si="21"/>
        <v/>
      </c>
      <c r="J464" s="84" t="str">
        <f t="shared" si="22"/>
        <v/>
      </c>
      <c r="K464" s="80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spans="1:26" ht="15.75" customHeight="1" x14ac:dyDescent="0.25">
      <c r="A465" s="62"/>
      <c r="B465" s="62"/>
      <c r="C465" s="76"/>
      <c r="D465" s="77"/>
      <c r="E465" s="62"/>
      <c r="F465" s="83" t="str">
        <f t="shared" si="18"/>
        <v/>
      </c>
      <c r="G465" s="84" t="str">
        <f t="shared" si="19"/>
        <v/>
      </c>
      <c r="H465" s="84" t="str">
        <f t="shared" si="20"/>
        <v/>
      </c>
      <c r="I465" s="84" t="str">
        <f t="shared" si="21"/>
        <v/>
      </c>
      <c r="J465" s="84" t="str">
        <f t="shared" si="22"/>
        <v/>
      </c>
      <c r="K465" s="80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spans="1:26" ht="15.75" customHeight="1" x14ac:dyDescent="0.25">
      <c r="A466" s="62"/>
      <c r="B466" s="62"/>
      <c r="C466" s="76"/>
      <c r="D466" s="77"/>
      <c r="E466" s="62"/>
      <c r="F466" s="83" t="str">
        <f t="shared" si="18"/>
        <v/>
      </c>
      <c r="G466" s="84" t="str">
        <f t="shared" si="19"/>
        <v/>
      </c>
      <c r="H466" s="84" t="str">
        <f t="shared" si="20"/>
        <v/>
      </c>
      <c r="I466" s="84" t="str">
        <f t="shared" si="21"/>
        <v/>
      </c>
      <c r="J466" s="84" t="str">
        <f t="shared" si="22"/>
        <v/>
      </c>
      <c r="K466" s="80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spans="1:26" ht="15.75" customHeight="1" x14ac:dyDescent="0.25">
      <c r="A467" s="62"/>
      <c r="B467" s="62"/>
      <c r="C467" s="76"/>
      <c r="D467" s="77"/>
      <c r="E467" s="62"/>
      <c r="F467" s="83" t="str">
        <f t="shared" si="18"/>
        <v/>
      </c>
      <c r="G467" s="84" t="str">
        <f t="shared" si="19"/>
        <v/>
      </c>
      <c r="H467" s="84" t="str">
        <f t="shared" si="20"/>
        <v/>
      </c>
      <c r="I467" s="84" t="str">
        <f t="shared" si="21"/>
        <v/>
      </c>
      <c r="J467" s="84" t="str">
        <f t="shared" si="22"/>
        <v/>
      </c>
      <c r="K467" s="80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spans="1:26" ht="15.75" customHeight="1" x14ac:dyDescent="0.25">
      <c r="A468" s="62"/>
      <c r="B468" s="62"/>
      <c r="C468" s="76"/>
      <c r="D468" s="77"/>
      <c r="E468" s="62"/>
      <c r="F468" s="83" t="str">
        <f t="shared" si="18"/>
        <v/>
      </c>
      <c r="G468" s="84" t="str">
        <f t="shared" si="19"/>
        <v/>
      </c>
      <c r="H468" s="84" t="str">
        <f t="shared" si="20"/>
        <v/>
      </c>
      <c r="I468" s="84" t="str">
        <f t="shared" si="21"/>
        <v/>
      </c>
      <c r="J468" s="84" t="str">
        <f t="shared" si="22"/>
        <v/>
      </c>
      <c r="K468" s="80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spans="1:26" ht="15.75" customHeight="1" x14ac:dyDescent="0.25">
      <c r="A469" s="62"/>
      <c r="B469" s="62"/>
      <c r="C469" s="76"/>
      <c r="D469" s="77"/>
      <c r="E469" s="62"/>
      <c r="F469" s="83" t="str">
        <f t="shared" si="18"/>
        <v/>
      </c>
      <c r="G469" s="84" t="str">
        <f t="shared" si="19"/>
        <v/>
      </c>
      <c r="H469" s="84" t="str">
        <f t="shared" si="20"/>
        <v/>
      </c>
      <c r="I469" s="84" t="str">
        <f t="shared" si="21"/>
        <v/>
      </c>
      <c r="J469" s="84" t="str">
        <f t="shared" si="22"/>
        <v/>
      </c>
      <c r="K469" s="80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spans="1:26" ht="15.75" customHeight="1" x14ac:dyDescent="0.25">
      <c r="A470" s="62"/>
      <c r="B470" s="62"/>
      <c r="C470" s="76"/>
      <c r="D470" s="77"/>
      <c r="E470" s="62"/>
      <c r="F470" s="83" t="str">
        <f t="shared" si="18"/>
        <v/>
      </c>
      <c r="G470" s="84" t="str">
        <f t="shared" si="19"/>
        <v/>
      </c>
      <c r="H470" s="84" t="str">
        <f t="shared" si="20"/>
        <v/>
      </c>
      <c r="I470" s="84" t="str">
        <f t="shared" si="21"/>
        <v/>
      </c>
      <c r="J470" s="84" t="str">
        <f t="shared" si="22"/>
        <v/>
      </c>
      <c r="K470" s="80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spans="1:26" ht="15.75" customHeight="1" x14ac:dyDescent="0.25">
      <c r="A471" s="62"/>
      <c r="B471" s="62"/>
      <c r="C471" s="76"/>
      <c r="D471" s="77"/>
      <c r="E471" s="62"/>
      <c r="F471" s="83" t="str">
        <f t="shared" si="18"/>
        <v/>
      </c>
      <c r="G471" s="84" t="str">
        <f t="shared" si="19"/>
        <v/>
      </c>
      <c r="H471" s="84" t="str">
        <f t="shared" si="20"/>
        <v/>
      </c>
      <c r="I471" s="84" t="str">
        <f t="shared" si="21"/>
        <v/>
      </c>
      <c r="J471" s="84" t="str">
        <f t="shared" si="22"/>
        <v/>
      </c>
      <c r="K471" s="80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spans="1:26" ht="15.75" customHeight="1" x14ac:dyDescent="0.25">
      <c r="A472" s="62"/>
      <c r="B472" s="62"/>
      <c r="C472" s="76"/>
      <c r="D472" s="77"/>
      <c r="E472" s="62"/>
      <c r="F472" s="83" t="str">
        <f t="shared" si="18"/>
        <v/>
      </c>
      <c r="G472" s="84" t="str">
        <f t="shared" si="19"/>
        <v/>
      </c>
      <c r="H472" s="84" t="str">
        <f t="shared" si="20"/>
        <v/>
      </c>
      <c r="I472" s="84" t="str">
        <f t="shared" si="21"/>
        <v/>
      </c>
      <c r="J472" s="84" t="str">
        <f t="shared" si="22"/>
        <v/>
      </c>
      <c r="K472" s="80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spans="1:26" ht="15.75" customHeight="1" x14ac:dyDescent="0.25">
      <c r="A473" s="62"/>
      <c r="B473" s="62"/>
      <c r="C473" s="76"/>
      <c r="D473" s="77"/>
      <c r="E473" s="62"/>
      <c r="F473" s="83" t="str">
        <f t="shared" si="18"/>
        <v/>
      </c>
      <c r="G473" s="84" t="str">
        <f t="shared" si="19"/>
        <v/>
      </c>
      <c r="H473" s="84" t="str">
        <f t="shared" si="20"/>
        <v/>
      </c>
      <c r="I473" s="84" t="str">
        <f t="shared" si="21"/>
        <v/>
      </c>
      <c r="J473" s="84" t="str">
        <f t="shared" si="22"/>
        <v/>
      </c>
      <c r="K473" s="80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spans="1:26" ht="15.75" customHeight="1" x14ac:dyDescent="0.25">
      <c r="A474" s="62"/>
      <c r="B474" s="62"/>
      <c r="C474" s="76"/>
      <c r="D474" s="77"/>
      <c r="E474" s="62"/>
      <c r="F474" s="83" t="str">
        <f t="shared" si="18"/>
        <v/>
      </c>
      <c r="G474" s="84" t="str">
        <f t="shared" si="19"/>
        <v/>
      </c>
      <c r="H474" s="84" t="str">
        <f t="shared" si="20"/>
        <v/>
      </c>
      <c r="I474" s="84" t="str">
        <f t="shared" si="21"/>
        <v/>
      </c>
      <c r="J474" s="84" t="str">
        <f t="shared" si="22"/>
        <v/>
      </c>
      <c r="K474" s="80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spans="1:26" ht="15.75" customHeight="1" x14ac:dyDescent="0.25">
      <c r="A475" s="62"/>
      <c r="B475" s="62"/>
      <c r="C475" s="76"/>
      <c r="D475" s="77"/>
      <c r="E475" s="62"/>
      <c r="F475" s="83" t="str">
        <f t="shared" si="18"/>
        <v/>
      </c>
      <c r="G475" s="84" t="str">
        <f t="shared" si="19"/>
        <v/>
      </c>
      <c r="H475" s="84" t="str">
        <f t="shared" si="20"/>
        <v/>
      </c>
      <c r="I475" s="84" t="str">
        <f t="shared" si="21"/>
        <v/>
      </c>
      <c r="J475" s="84" t="str">
        <f t="shared" si="22"/>
        <v/>
      </c>
      <c r="K475" s="80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spans="1:26" ht="15.75" customHeight="1" x14ac:dyDescent="0.25">
      <c r="A476" s="62"/>
      <c r="B476" s="62"/>
      <c r="C476" s="76"/>
      <c r="D476" s="77"/>
      <c r="E476" s="62"/>
      <c r="F476" s="83" t="str">
        <f t="shared" si="18"/>
        <v/>
      </c>
      <c r="G476" s="84" t="str">
        <f t="shared" si="19"/>
        <v/>
      </c>
      <c r="H476" s="84" t="str">
        <f t="shared" si="20"/>
        <v/>
      </c>
      <c r="I476" s="84" t="str">
        <f t="shared" si="21"/>
        <v/>
      </c>
      <c r="J476" s="84" t="str">
        <f t="shared" si="22"/>
        <v/>
      </c>
      <c r="K476" s="80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spans="1:26" ht="15.75" customHeight="1" x14ac:dyDescent="0.25">
      <c r="A477" s="62"/>
      <c r="B477" s="62"/>
      <c r="C477" s="76"/>
      <c r="D477" s="77"/>
      <c r="E477" s="62"/>
      <c r="F477" s="83" t="str">
        <f t="shared" si="18"/>
        <v/>
      </c>
      <c r="G477" s="84" t="str">
        <f t="shared" si="19"/>
        <v/>
      </c>
      <c r="H477" s="84" t="str">
        <f t="shared" si="20"/>
        <v/>
      </c>
      <c r="I477" s="84" t="str">
        <f t="shared" si="21"/>
        <v/>
      </c>
      <c r="J477" s="84" t="str">
        <f t="shared" si="22"/>
        <v/>
      </c>
      <c r="K477" s="80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spans="1:26" ht="15.75" customHeight="1" x14ac:dyDescent="0.25">
      <c r="A478" s="62"/>
      <c r="B478" s="62"/>
      <c r="C478" s="76"/>
      <c r="D478" s="77"/>
      <c r="E478" s="62"/>
      <c r="F478" s="83" t="str">
        <f t="shared" si="18"/>
        <v/>
      </c>
      <c r="G478" s="84" t="str">
        <f t="shared" si="19"/>
        <v/>
      </c>
      <c r="H478" s="84" t="str">
        <f t="shared" si="20"/>
        <v/>
      </c>
      <c r="I478" s="84" t="str">
        <f t="shared" si="21"/>
        <v/>
      </c>
      <c r="J478" s="84" t="str">
        <f t="shared" si="22"/>
        <v/>
      </c>
      <c r="K478" s="80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spans="1:26" ht="15.75" customHeight="1" x14ac:dyDescent="0.25">
      <c r="A479" s="62"/>
      <c r="B479" s="62"/>
      <c r="C479" s="76"/>
      <c r="D479" s="77"/>
      <c r="E479" s="62"/>
      <c r="F479" s="83" t="str">
        <f t="shared" si="18"/>
        <v/>
      </c>
      <c r="G479" s="84" t="str">
        <f t="shared" si="19"/>
        <v/>
      </c>
      <c r="H479" s="84" t="str">
        <f t="shared" si="20"/>
        <v/>
      </c>
      <c r="I479" s="84" t="str">
        <f t="shared" si="21"/>
        <v/>
      </c>
      <c r="J479" s="84" t="str">
        <f t="shared" si="22"/>
        <v/>
      </c>
      <c r="K479" s="80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spans="1:26" ht="15.75" customHeight="1" x14ac:dyDescent="0.25">
      <c r="A480" s="62"/>
      <c r="B480" s="62"/>
      <c r="C480" s="76"/>
      <c r="D480" s="77"/>
      <c r="E480" s="62"/>
      <c r="F480" s="83" t="str">
        <f t="shared" si="18"/>
        <v/>
      </c>
      <c r="G480" s="84" t="str">
        <f t="shared" si="19"/>
        <v/>
      </c>
      <c r="H480" s="84" t="str">
        <f t="shared" si="20"/>
        <v/>
      </c>
      <c r="I480" s="84" t="str">
        <f t="shared" si="21"/>
        <v/>
      </c>
      <c r="J480" s="84" t="str">
        <f t="shared" si="22"/>
        <v/>
      </c>
      <c r="K480" s="80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spans="1:26" ht="15.75" customHeight="1" x14ac:dyDescent="0.25">
      <c r="A481" s="62"/>
      <c r="B481" s="62"/>
      <c r="C481" s="76"/>
      <c r="D481" s="77"/>
      <c r="E481" s="62"/>
      <c r="F481" s="83" t="str">
        <f t="shared" si="18"/>
        <v/>
      </c>
      <c r="G481" s="84" t="str">
        <f t="shared" si="19"/>
        <v/>
      </c>
      <c r="H481" s="84" t="str">
        <f t="shared" si="20"/>
        <v/>
      </c>
      <c r="I481" s="84" t="str">
        <f t="shared" si="21"/>
        <v/>
      </c>
      <c r="J481" s="84" t="str">
        <f t="shared" si="22"/>
        <v/>
      </c>
      <c r="K481" s="80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spans="1:26" ht="15.75" customHeight="1" x14ac:dyDescent="0.25">
      <c r="A482" s="62"/>
      <c r="B482" s="62"/>
      <c r="C482" s="76"/>
      <c r="D482" s="77"/>
      <c r="E482" s="62"/>
      <c r="F482" s="83" t="str">
        <f t="shared" si="18"/>
        <v/>
      </c>
      <c r="G482" s="84" t="str">
        <f t="shared" si="19"/>
        <v/>
      </c>
      <c r="H482" s="84" t="str">
        <f t="shared" si="20"/>
        <v/>
      </c>
      <c r="I482" s="84" t="str">
        <f t="shared" si="21"/>
        <v/>
      </c>
      <c r="J482" s="84" t="str">
        <f t="shared" si="22"/>
        <v/>
      </c>
      <c r="K482" s="80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spans="1:26" ht="15.75" customHeight="1" x14ac:dyDescent="0.25">
      <c r="A483" s="62"/>
      <c r="B483" s="62"/>
      <c r="C483" s="76"/>
      <c r="D483" s="77"/>
      <c r="E483" s="62"/>
      <c r="F483" s="83" t="str">
        <f t="shared" si="18"/>
        <v/>
      </c>
      <c r="G483" s="84" t="str">
        <f t="shared" si="19"/>
        <v/>
      </c>
      <c r="H483" s="84" t="str">
        <f t="shared" si="20"/>
        <v/>
      </c>
      <c r="I483" s="84" t="str">
        <f t="shared" si="21"/>
        <v/>
      </c>
      <c r="J483" s="84" t="str">
        <f t="shared" si="22"/>
        <v/>
      </c>
      <c r="K483" s="80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spans="1:26" ht="15.75" customHeight="1" x14ac:dyDescent="0.25">
      <c r="A484" s="62"/>
      <c r="B484" s="62"/>
      <c r="C484" s="76"/>
      <c r="D484" s="77"/>
      <c r="E484" s="62"/>
      <c r="F484" s="83" t="str">
        <f t="shared" si="18"/>
        <v/>
      </c>
      <c r="G484" s="84" t="str">
        <f t="shared" si="19"/>
        <v/>
      </c>
      <c r="H484" s="84" t="str">
        <f t="shared" si="20"/>
        <v/>
      </c>
      <c r="I484" s="84" t="str">
        <f t="shared" si="21"/>
        <v/>
      </c>
      <c r="J484" s="84" t="str">
        <f t="shared" si="22"/>
        <v/>
      </c>
      <c r="K484" s="80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spans="1:26" ht="15.75" customHeight="1" x14ac:dyDescent="0.25">
      <c r="A485" s="62"/>
      <c r="B485" s="62"/>
      <c r="C485" s="76"/>
      <c r="D485" s="77"/>
      <c r="E485" s="62"/>
      <c r="F485" s="83" t="str">
        <f t="shared" si="18"/>
        <v/>
      </c>
      <c r="G485" s="84" t="str">
        <f t="shared" si="19"/>
        <v/>
      </c>
      <c r="H485" s="84" t="str">
        <f t="shared" si="20"/>
        <v/>
      </c>
      <c r="I485" s="84" t="str">
        <f t="shared" si="21"/>
        <v/>
      </c>
      <c r="J485" s="84" t="str">
        <f t="shared" si="22"/>
        <v/>
      </c>
      <c r="K485" s="80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spans="1:26" ht="15.75" customHeight="1" x14ac:dyDescent="0.25">
      <c r="A486" s="62"/>
      <c r="B486" s="62"/>
      <c r="C486" s="76"/>
      <c r="D486" s="77"/>
      <c r="E486" s="62"/>
      <c r="F486" s="83" t="str">
        <f t="shared" si="18"/>
        <v/>
      </c>
      <c r="G486" s="84" t="str">
        <f t="shared" si="19"/>
        <v/>
      </c>
      <c r="H486" s="84" t="str">
        <f t="shared" si="20"/>
        <v/>
      </c>
      <c r="I486" s="84" t="str">
        <f t="shared" si="21"/>
        <v/>
      </c>
      <c r="J486" s="84" t="str">
        <f t="shared" si="22"/>
        <v/>
      </c>
      <c r="K486" s="80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spans="1:26" ht="15.75" customHeight="1" x14ac:dyDescent="0.25">
      <c r="A487" s="62"/>
      <c r="B487" s="62"/>
      <c r="C487" s="76"/>
      <c r="D487" s="77"/>
      <c r="E487" s="62"/>
      <c r="F487" s="83" t="str">
        <f t="shared" si="18"/>
        <v/>
      </c>
      <c r="G487" s="84" t="str">
        <f t="shared" si="19"/>
        <v/>
      </c>
      <c r="H487" s="84" t="str">
        <f t="shared" si="20"/>
        <v/>
      </c>
      <c r="I487" s="84" t="str">
        <f t="shared" si="21"/>
        <v/>
      </c>
      <c r="J487" s="84" t="str">
        <f t="shared" si="22"/>
        <v/>
      </c>
      <c r="K487" s="80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spans="1:26" ht="15.75" customHeight="1" x14ac:dyDescent="0.25">
      <c r="A488" s="62"/>
      <c r="B488" s="62"/>
      <c r="C488" s="76"/>
      <c r="D488" s="77"/>
      <c r="E488" s="62"/>
      <c r="F488" s="83" t="str">
        <f t="shared" si="18"/>
        <v/>
      </c>
      <c r="G488" s="84" t="str">
        <f t="shared" si="19"/>
        <v/>
      </c>
      <c r="H488" s="84" t="str">
        <f t="shared" si="20"/>
        <v/>
      </c>
      <c r="I488" s="84" t="str">
        <f t="shared" si="21"/>
        <v/>
      </c>
      <c r="J488" s="84" t="str">
        <f t="shared" si="22"/>
        <v/>
      </c>
      <c r="K488" s="80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spans="1:26" ht="15.75" customHeight="1" x14ac:dyDescent="0.25">
      <c r="A489" s="62"/>
      <c r="B489" s="62"/>
      <c r="C489" s="76"/>
      <c r="D489" s="77"/>
      <c r="E489" s="62"/>
      <c r="F489" s="83" t="str">
        <f t="shared" si="18"/>
        <v/>
      </c>
      <c r="G489" s="84" t="str">
        <f t="shared" si="19"/>
        <v/>
      </c>
      <c r="H489" s="84" t="str">
        <f t="shared" si="20"/>
        <v/>
      </c>
      <c r="I489" s="84" t="str">
        <f t="shared" si="21"/>
        <v/>
      </c>
      <c r="J489" s="84" t="str">
        <f t="shared" si="22"/>
        <v/>
      </c>
      <c r="K489" s="80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spans="1:26" ht="15.75" customHeight="1" x14ac:dyDescent="0.25">
      <c r="A490" s="62"/>
      <c r="B490" s="62"/>
      <c r="C490" s="76"/>
      <c r="D490" s="77"/>
      <c r="E490" s="62"/>
      <c r="F490" s="83" t="str">
        <f t="shared" si="18"/>
        <v/>
      </c>
      <c r="G490" s="84" t="str">
        <f t="shared" si="19"/>
        <v/>
      </c>
      <c r="H490" s="84" t="str">
        <f t="shared" si="20"/>
        <v/>
      </c>
      <c r="I490" s="84" t="str">
        <f t="shared" si="21"/>
        <v/>
      </c>
      <c r="J490" s="84" t="str">
        <f t="shared" si="22"/>
        <v/>
      </c>
      <c r="K490" s="80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spans="1:26" ht="15.75" customHeight="1" x14ac:dyDescent="0.25">
      <c r="A491" s="62"/>
      <c r="B491" s="62"/>
      <c r="C491" s="76"/>
      <c r="D491" s="77"/>
      <c r="E491" s="62"/>
      <c r="F491" s="83" t="str">
        <f t="shared" si="18"/>
        <v/>
      </c>
      <c r="G491" s="84" t="str">
        <f t="shared" si="19"/>
        <v/>
      </c>
      <c r="H491" s="84" t="str">
        <f t="shared" si="20"/>
        <v/>
      </c>
      <c r="I491" s="84" t="str">
        <f t="shared" si="21"/>
        <v/>
      </c>
      <c r="J491" s="84" t="str">
        <f t="shared" si="22"/>
        <v/>
      </c>
      <c r="K491" s="80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spans="1:26" ht="15.75" customHeight="1" x14ac:dyDescent="0.25">
      <c r="A492" s="62"/>
      <c r="B492" s="62"/>
      <c r="C492" s="76"/>
      <c r="D492" s="77"/>
      <c r="E492" s="62"/>
      <c r="F492" s="83" t="str">
        <f t="shared" si="18"/>
        <v/>
      </c>
      <c r="G492" s="84" t="str">
        <f t="shared" si="19"/>
        <v/>
      </c>
      <c r="H492" s="84" t="str">
        <f t="shared" si="20"/>
        <v/>
      </c>
      <c r="I492" s="84" t="str">
        <f t="shared" si="21"/>
        <v/>
      </c>
      <c r="J492" s="84" t="str">
        <f t="shared" si="22"/>
        <v/>
      </c>
      <c r="K492" s="80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spans="1:26" ht="15.75" customHeight="1" x14ac:dyDescent="0.25">
      <c r="A493" s="62"/>
      <c r="B493" s="62"/>
      <c r="C493" s="76"/>
      <c r="D493" s="77"/>
      <c r="E493" s="62"/>
      <c r="F493" s="83" t="str">
        <f t="shared" si="18"/>
        <v/>
      </c>
      <c r="G493" s="84" t="str">
        <f t="shared" si="19"/>
        <v/>
      </c>
      <c r="H493" s="84" t="str">
        <f t="shared" si="20"/>
        <v/>
      </c>
      <c r="I493" s="84" t="str">
        <f t="shared" si="21"/>
        <v/>
      </c>
      <c r="J493" s="84" t="str">
        <f t="shared" si="22"/>
        <v/>
      </c>
      <c r="K493" s="80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spans="1:26" ht="15.75" customHeight="1" x14ac:dyDescent="0.25">
      <c r="A494" s="62"/>
      <c r="B494" s="62"/>
      <c r="C494" s="76"/>
      <c r="D494" s="77"/>
      <c r="E494" s="62"/>
      <c r="F494" s="83" t="str">
        <f t="shared" si="18"/>
        <v/>
      </c>
      <c r="G494" s="84" t="str">
        <f t="shared" si="19"/>
        <v/>
      </c>
      <c r="H494" s="84" t="str">
        <f t="shared" si="20"/>
        <v/>
      </c>
      <c r="I494" s="84" t="str">
        <f t="shared" si="21"/>
        <v/>
      </c>
      <c r="J494" s="84" t="str">
        <f t="shared" si="22"/>
        <v/>
      </c>
      <c r="K494" s="80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spans="1:26" ht="15.75" customHeight="1" x14ac:dyDescent="0.25">
      <c r="A495" s="62"/>
      <c r="B495" s="62"/>
      <c r="C495" s="76"/>
      <c r="D495" s="77"/>
      <c r="E495" s="62"/>
      <c r="F495" s="83" t="str">
        <f t="shared" si="18"/>
        <v/>
      </c>
      <c r="G495" s="84" t="str">
        <f t="shared" si="19"/>
        <v/>
      </c>
      <c r="H495" s="84" t="str">
        <f t="shared" si="20"/>
        <v/>
      </c>
      <c r="I495" s="84" t="str">
        <f t="shared" si="21"/>
        <v/>
      </c>
      <c r="J495" s="84" t="str">
        <f t="shared" si="22"/>
        <v/>
      </c>
      <c r="K495" s="80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spans="1:26" ht="15.75" customHeight="1" x14ac:dyDescent="0.25">
      <c r="A496" s="62"/>
      <c r="B496" s="62"/>
      <c r="C496" s="76"/>
      <c r="D496" s="77"/>
      <c r="E496" s="62"/>
      <c r="F496" s="83" t="str">
        <f t="shared" si="18"/>
        <v/>
      </c>
      <c r="G496" s="84" t="str">
        <f t="shared" si="19"/>
        <v/>
      </c>
      <c r="H496" s="84" t="str">
        <f t="shared" si="20"/>
        <v/>
      </c>
      <c r="I496" s="84" t="str">
        <f t="shared" si="21"/>
        <v/>
      </c>
      <c r="J496" s="84" t="str">
        <f t="shared" si="22"/>
        <v/>
      </c>
      <c r="K496" s="80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spans="1:26" ht="15.75" customHeight="1" x14ac:dyDescent="0.25">
      <c r="A497" s="62"/>
      <c r="B497" s="62"/>
      <c r="C497" s="76"/>
      <c r="D497" s="77"/>
      <c r="E497" s="62"/>
      <c r="F497" s="83" t="str">
        <f t="shared" si="18"/>
        <v/>
      </c>
      <c r="G497" s="84" t="str">
        <f t="shared" si="19"/>
        <v/>
      </c>
      <c r="H497" s="84" t="str">
        <f t="shared" si="20"/>
        <v/>
      </c>
      <c r="I497" s="84" t="str">
        <f t="shared" si="21"/>
        <v/>
      </c>
      <c r="J497" s="84" t="str">
        <f t="shared" si="22"/>
        <v/>
      </c>
      <c r="K497" s="80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spans="1:26" ht="15.75" customHeight="1" x14ac:dyDescent="0.25">
      <c r="A498" s="62"/>
      <c r="B498" s="62"/>
      <c r="C498" s="76"/>
      <c r="D498" s="77"/>
      <c r="E498" s="62"/>
      <c r="F498" s="83" t="str">
        <f t="shared" si="18"/>
        <v/>
      </c>
      <c r="G498" s="84" t="str">
        <f t="shared" si="19"/>
        <v/>
      </c>
      <c r="H498" s="84" t="str">
        <f t="shared" si="20"/>
        <v/>
      </c>
      <c r="I498" s="84" t="str">
        <f t="shared" si="21"/>
        <v/>
      </c>
      <c r="J498" s="84" t="str">
        <f t="shared" si="22"/>
        <v/>
      </c>
      <c r="K498" s="80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spans="1:26" ht="15.75" customHeight="1" x14ac:dyDescent="0.25">
      <c r="A499" s="62"/>
      <c r="B499" s="62"/>
      <c r="C499" s="76"/>
      <c r="D499" s="77"/>
      <c r="E499" s="62"/>
      <c r="F499" s="83" t="str">
        <f t="shared" si="18"/>
        <v/>
      </c>
      <c r="G499" s="84" t="str">
        <f t="shared" si="19"/>
        <v/>
      </c>
      <c r="H499" s="84" t="str">
        <f t="shared" si="20"/>
        <v/>
      </c>
      <c r="I499" s="84" t="str">
        <f t="shared" si="21"/>
        <v/>
      </c>
      <c r="J499" s="84" t="str">
        <f t="shared" si="22"/>
        <v/>
      </c>
      <c r="K499" s="80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spans="1:26" ht="15.75" customHeight="1" x14ac:dyDescent="0.25">
      <c r="A500" s="62"/>
      <c r="B500" s="62"/>
      <c r="C500" s="76"/>
      <c r="D500" s="77"/>
      <c r="E500" s="62"/>
      <c r="F500" s="83" t="str">
        <f t="shared" si="18"/>
        <v/>
      </c>
      <c r="G500" s="84" t="str">
        <f t="shared" si="19"/>
        <v/>
      </c>
      <c r="H500" s="84" t="str">
        <f t="shared" si="20"/>
        <v/>
      </c>
      <c r="I500" s="84" t="str">
        <f t="shared" si="21"/>
        <v/>
      </c>
      <c r="J500" s="84" t="str">
        <f t="shared" si="22"/>
        <v/>
      </c>
      <c r="K500" s="80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spans="1:26" ht="15.75" customHeight="1" x14ac:dyDescent="0.25">
      <c r="A501" s="62"/>
      <c r="B501" s="62"/>
      <c r="C501" s="76"/>
      <c r="D501" s="77"/>
      <c r="E501" s="62"/>
      <c r="F501" s="83" t="str">
        <f t="shared" si="18"/>
        <v/>
      </c>
      <c r="G501" s="84" t="str">
        <f t="shared" si="19"/>
        <v/>
      </c>
      <c r="H501" s="84" t="str">
        <f t="shared" si="20"/>
        <v/>
      </c>
      <c r="I501" s="84" t="str">
        <f t="shared" si="21"/>
        <v/>
      </c>
      <c r="J501" s="84" t="str">
        <f t="shared" si="22"/>
        <v/>
      </c>
      <c r="K501" s="80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spans="1:26" ht="15.75" customHeight="1" x14ac:dyDescent="0.25">
      <c r="A502" s="62"/>
      <c r="B502" s="62"/>
      <c r="C502" s="76"/>
      <c r="D502" s="77"/>
      <c r="E502" s="62"/>
      <c r="F502" s="83" t="str">
        <f t="shared" si="18"/>
        <v/>
      </c>
      <c r="G502" s="84" t="str">
        <f t="shared" si="19"/>
        <v/>
      </c>
      <c r="H502" s="84" t="str">
        <f t="shared" si="20"/>
        <v/>
      </c>
      <c r="I502" s="84" t="str">
        <f t="shared" si="21"/>
        <v/>
      </c>
      <c r="J502" s="84" t="str">
        <f t="shared" si="22"/>
        <v/>
      </c>
      <c r="K502" s="80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spans="1:26" ht="15.75" customHeight="1" x14ac:dyDescent="0.25">
      <c r="A503" s="62"/>
      <c r="B503" s="62"/>
      <c r="C503" s="76"/>
      <c r="D503" s="77"/>
      <c r="E503" s="62"/>
      <c r="F503" s="83" t="str">
        <f t="shared" si="18"/>
        <v/>
      </c>
      <c r="G503" s="84" t="str">
        <f t="shared" si="19"/>
        <v/>
      </c>
      <c r="H503" s="84" t="str">
        <f t="shared" si="20"/>
        <v/>
      </c>
      <c r="I503" s="84" t="str">
        <f t="shared" si="21"/>
        <v/>
      </c>
      <c r="J503" s="84" t="str">
        <f t="shared" si="22"/>
        <v/>
      </c>
      <c r="K503" s="80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spans="1:26" ht="15.75" customHeight="1" x14ac:dyDescent="0.25">
      <c r="A504" s="62"/>
      <c r="B504" s="62"/>
      <c r="C504" s="76"/>
      <c r="D504" s="77"/>
      <c r="E504" s="62"/>
      <c r="F504" s="83" t="str">
        <f t="shared" si="18"/>
        <v/>
      </c>
      <c r="G504" s="84" t="str">
        <f t="shared" si="19"/>
        <v/>
      </c>
      <c r="H504" s="84" t="str">
        <f t="shared" si="20"/>
        <v/>
      </c>
      <c r="I504" s="84" t="str">
        <f t="shared" si="21"/>
        <v/>
      </c>
      <c r="J504" s="84" t="str">
        <f t="shared" si="22"/>
        <v/>
      </c>
      <c r="K504" s="80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spans="1:26" ht="15.75" customHeight="1" x14ac:dyDescent="0.25">
      <c r="A505" s="62"/>
      <c r="B505" s="62"/>
      <c r="C505" s="76"/>
      <c r="D505" s="77"/>
      <c r="E505" s="62"/>
      <c r="F505" s="83" t="str">
        <f t="shared" si="18"/>
        <v/>
      </c>
      <c r="G505" s="84" t="str">
        <f t="shared" si="19"/>
        <v/>
      </c>
      <c r="H505" s="84" t="str">
        <f t="shared" si="20"/>
        <v/>
      </c>
      <c r="I505" s="84" t="str">
        <f t="shared" si="21"/>
        <v/>
      </c>
      <c r="J505" s="84" t="str">
        <f t="shared" si="22"/>
        <v/>
      </c>
      <c r="K505" s="80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spans="1:26" ht="15.75" customHeight="1" x14ac:dyDescent="0.25">
      <c r="A506" s="62"/>
      <c r="B506" s="62"/>
      <c r="C506" s="76"/>
      <c r="D506" s="77"/>
      <c r="E506" s="62"/>
      <c r="F506" s="83" t="str">
        <f t="shared" si="18"/>
        <v/>
      </c>
      <c r="G506" s="84" t="str">
        <f t="shared" si="19"/>
        <v/>
      </c>
      <c r="H506" s="84" t="str">
        <f t="shared" si="20"/>
        <v/>
      </c>
      <c r="I506" s="84" t="str">
        <f t="shared" si="21"/>
        <v/>
      </c>
      <c r="J506" s="84" t="str">
        <f t="shared" si="22"/>
        <v/>
      </c>
      <c r="K506" s="80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spans="1:26" ht="15.75" customHeight="1" x14ac:dyDescent="0.25">
      <c r="A507" s="62"/>
      <c r="B507" s="62"/>
      <c r="C507" s="76"/>
      <c r="D507" s="77"/>
      <c r="E507" s="62"/>
      <c r="F507" s="83" t="str">
        <f t="shared" si="18"/>
        <v/>
      </c>
      <c r="G507" s="84" t="str">
        <f t="shared" si="19"/>
        <v/>
      </c>
      <c r="H507" s="84" t="str">
        <f t="shared" si="20"/>
        <v/>
      </c>
      <c r="I507" s="84" t="str">
        <f t="shared" si="21"/>
        <v/>
      </c>
      <c r="J507" s="84" t="str">
        <f t="shared" si="22"/>
        <v/>
      </c>
      <c r="K507" s="80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spans="1:26" ht="15.75" customHeight="1" x14ac:dyDescent="0.25">
      <c r="A508" s="62"/>
      <c r="B508" s="62"/>
      <c r="C508" s="76"/>
      <c r="D508" s="77"/>
      <c r="E508" s="62"/>
      <c r="F508" s="83" t="str">
        <f t="shared" si="18"/>
        <v/>
      </c>
      <c r="G508" s="84" t="str">
        <f t="shared" si="19"/>
        <v/>
      </c>
      <c r="H508" s="84" t="str">
        <f t="shared" si="20"/>
        <v/>
      </c>
      <c r="I508" s="84" t="str">
        <f t="shared" si="21"/>
        <v/>
      </c>
      <c r="J508" s="84" t="str">
        <f t="shared" si="22"/>
        <v/>
      </c>
      <c r="K508" s="80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spans="1:26" ht="15.75" customHeight="1" x14ac:dyDescent="0.25">
      <c r="A509" s="62"/>
      <c r="B509" s="62"/>
      <c r="C509" s="76"/>
      <c r="D509" s="77"/>
      <c r="E509" s="62"/>
      <c r="F509" s="83" t="str">
        <f t="shared" si="18"/>
        <v/>
      </c>
      <c r="G509" s="84" t="str">
        <f t="shared" si="19"/>
        <v/>
      </c>
      <c r="H509" s="84" t="str">
        <f t="shared" si="20"/>
        <v/>
      </c>
      <c r="I509" s="84" t="str">
        <f t="shared" si="21"/>
        <v/>
      </c>
      <c r="J509" s="84" t="str">
        <f t="shared" si="22"/>
        <v/>
      </c>
      <c r="K509" s="80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spans="1:26" ht="15.75" customHeight="1" x14ac:dyDescent="0.25">
      <c r="A510" s="62"/>
      <c r="B510" s="62"/>
      <c r="C510" s="76"/>
      <c r="D510" s="77"/>
      <c r="E510" s="62"/>
      <c r="F510" s="83" t="str">
        <f t="shared" si="18"/>
        <v/>
      </c>
      <c r="G510" s="84" t="str">
        <f t="shared" si="19"/>
        <v/>
      </c>
      <c r="H510" s="84" t="str">
        <f t="shared" si="20"/>
        <v/>
      </c>
      <c r="I510" s="84" t="str">
        <f t="shared" si="21"/>
        <v/>
      </c>
      <c r="J510" s="84" t="str">
        <f t="shared" si="22"/>
        <v/>
      </c>
      <c r="K510" s="80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spans="1:26" ht="15.75" customHeight="1" x14ac:dyDescent="0.25">
      <c r="A511" s="62"/>
      <c r="B511" s="62"/>
      <c r="C511" s="76"/>
      <c r="D511" s="77"/>
      <c r="E511" s="62"/>
      <c r="F511" s="83" t="str">
        <f t="shared" si="18"/>
        <v/>
      </c>
      <c r="G511" s="84" t="str">
        <f t="shared" si="19"/>
        <v/>
      </c>
      <c r="H511" s="84" t="str">
        <f t="shared" si="20"/>
        <v/>
      </c>
      <c r="I511" s="84" t="str">
        <f t="shared" si="21"/>
        <v/>
      </c>
      <c r="J511" s="84" t="str">
        <f t="shared" si="22"/>
        <v/>
      </c>
      <c r="K511" s="80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spans="1:26" ht="15.75" customHeight="1" x14ac:dyDescent="0.25">
      <c r="A512" s="62"/>
      <c r="B512" s="62"/>
      <c r="C512" s="76"/>
      <c r="D512" s="77"/>
      <c r="E512" s="62"/>
      <c r="F512" s="83" t="str">
        <f t="shared" si="18"/>
        <v/>
      </c>
      <c r="G512" s="84" t="str">
        <f t="shared" si="19"/>
        <v/>
      </c>
      <c r="H512" s="84" t="str">
        <f t="shared" si="20"/>
        <v/>
      </c>
      <c r="I512" s="84" t="str">
        <f t="shared" si="21"/>
        <v/>
      </c>
      <c r="J512" s="84" t="str">
        <f t="shared" si="22"/>
        <v/>
      </c>
      <c r="K512" s="80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spans="1:26" ht="15.75" customHeight="1" x14ac:dyDescent="0.25">
      <c r="A513" s="62"/>
      <c r="B513" s="62"/>
      <c r="C513" s="76"/>
      <c r="D513" s="77"/>
      <c r="E513" s="62"/>
      <c r="F513" s="83" t="str">
        <f t="shared" si="18"/>
        <v/>
      </c>
      <c r="G513" s="84" t="str">
        <f t="shared" si="19"/>
        <v/>
      </c>
      <c r="H513" s="84" t="str">
        <f t="shared" si="20"/>
        <v/>
      </c>
      <c r="I513" s="84" t="str">
        <f t="shared" si="21"/>
        <v/>
      </c>
      <c r="J513" s="84" t="str">
        <f t="shared" si="22"/>
        <v/>
      </c>
      <c r="K513" s="80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spans="1:26" ht="15.75" customHeight="1" x14ac:dyDescent="0.25">
      <c r="A514" s="62"/>
      <c r="B514" s="62"/>
      <c r="C514" s="76"/>
      <c r="D514" s="77"/>
      <c r="E514" s="62"/>
      <c r="F514" s="83" t="str">
        <f t="shared" ref="F514:F632" si="23">IF(F513&lt;&gt;"",IF(J513&gt;1,F513+1,""),"")</f>
        <v/>
      </c>
      <c r="G514" s="84" t="str">
        <f t="shared" ref="G514:G632" si="24">IF(F514&lt;&gt;"",IF(J513&gt;$C$15,$C$15,J513+H514),"")</f>
        <v/>
      </c>
      <c r="H514" s="84" t="str">
        <f t="shared" ref="H514:H632" si="25">IF(F514&lt;&gt;"",J513*$C$4%/$C$7+$C$8,"")</f>
        <v/>
      </c>
      <c r="I514" s="84" t="str">
        <f t="shared" ref="I514:I632" si="26">IF(F514&lt;&gt;"",IF(F514&gt;$C$6*$C$7,G514-H514,0),"")</f>
        <v/>
      </c>
      <c r="J514" s="84" t="str">
        <f t="shared" ref="J514:J632" si="27">IF(F514&lt;&gt;"",J513-I514-K514,"")</f>
        <v/>
      </c>
      <c r="K514" s="80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spans="1:26" ht="15.75" customHeight="1" x14ac:dyDescent="0.25">
      <c r="A515" s="62"/>
      <c r="B515" s="62"/>
      <c r="C515" s="76"/>
      <c r="D515" s="77"/>
      <c r="E515" s="62"/>
      <c r="F515" s="83" t="str">
        <f t="shared" si="23"/>
        <v/>
      </c>
      <c r="G515" s="84" t="str">
        <f t="shared" si="24"/>
        <v/>
      </c>
      <c r="H515" s="84" t="str">
        <f t="shared" si="25"/>
        <v/>
      </c>
      <c r="I515" s="84" t="str">
        <f t="shared" si="26"/>
        <v/>
      </c>
      <c r="J515" s="84" t="str">
        <f t="shared" si="27"/>
        <v/>
      </c>
      <c r="K515" s="80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spans="1:26" ht="15.75" customHeight="1" x14ac:dyDescent="0.25">
      <c r="A516" s="62"/>
      <c r="B516" s="62"/>
      <c r="C516" s="76"/>
      <c r="D516" s="77"/>
      <c r="E516" s="62"/>
      <c r="F516" s="83" t="str">
        <f t="shared" si="23"/>
        <v/>
      </c>
      <c r="G516" s="84" t="str">
        <f t="shared" si="24"/>
        <v/>
      </c>
      <c r="H516" s="84" t="str">
        <f t="shared" si="25"/>
        <v/>
      </c>
      <c r="I516" s="84" t="str">
        <f t="shared" si="26"/>
        <v/>
      </c>
      <c r="J516" s="84" t="str">
        <f t="shared" si="27"/>
        <v/>
      </c>
      <c r="K516" s="80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spans="1:26" ht="15.75" customHeight="1" x14ac:dyDescent="0.25">
      <c r="A517" s="62"/>
      <c r="B517" s="62"/>
      <c r="C517" s="76"/>
      <c r="D517" s="77"/>
      <c r="E517" s="62"/>
      <c r="F517" s="83" t="str">
        <f t="shared" si="23"/>
        <v/>
      </c>
      <c r="G517" s="84" t="str">
        <f t="shared" si="24"/>
        <v/>
      </c>
      <c r="H517" s="84" t="str">
        <f t="shared" si="25"/>
        <v/>
      </c>
      <c r="I517" s="84" t="str">
        <f t="shared" si="26"/>
        <v/>
      </c>
      <c r="J517" s="84" t="str">
        <f t="shared" si="27"/>
        <v/>
      </c>
      <c r="K517" s="80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spans="1:26" ht="15.75" customHeight="1" x14ac:dyDescent="0.25">
      <c r="A518" s="62"/>
      <c r="B518" s="62"/>
      <c r="C518" s="76"/>
      <c r="D518" s="77"/>
      <c r="E518" s="62"/>
      <c r="F518" s="83" t="str">
        <f t="shared" si="23"/>
        <v/>
      </c>
      <c r="G518" s="84" t="str">
        <f t="shared" si="24"/>
        <v/>
      </c>
      <c r="H518" s="84" t="str">
        <f t="shared" si="25"/>
        <v/>
      </c>
      <c r="I518" s="84" t="str">
        <f t="shared" si="26"/>
        <v/>
      </c>
      <c r="J518" s="84" t="str">
        <f t="shared" si="27"/>
        <v/>
      </c>
      <c r="K518" s="80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spans="1:26" ht="15.75" customHeight="1" x14ac:dyDescent="0.25">
      <c r="A519" s="62"/>
      <c r="B519" s="62"/>
      <c r="C519" s="76"/>
      <c r="D519" s="77"/>
      <c r="E519" s="62"/>
      <c r="F519" s="83" t="str">
        <f t="shared" si="23"/>
        <v/>
      </c>
      <c r="G519" s="84" t="str">
        <f t="shared" si="24"/>
        <v/>
      </c>
      <c r="H519" s="84" t="str">
        <f t="shared" si="25"/>
        <v/>
      </c>
      <c r="I519" s="84" t="str">
        <f t="shared" si="26"/>
        <v/>
      </c>
      <c r="J519" s="84" t="str">
        <f t="shared" si="27"/>
        <v/>
      </c>
      <c r="K519" s="80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spans="1:26" ht="15.75" customHeight="1" x14ac:dyDescent="0.25">
      <c r="A520" s="62"/>
      <c r="B520" s="62"/>
      <c r="C520" s="76"/>
      <c r="D520" s="77"/>
      <c r="E520" s="62"/>
      <c r="F520" s="83" t="str">
        <f t="shared" si="23"/>
        <v/>
      </c>
      <c r="G520" s="84" t="str">
        <f t="shared" si="24"/>
        <v/>
      </c>
      <c r="H520" s="84" t="str">
        <f t="shared" si="25"/>
        <v/>
      </c>
      <c r="I520" s="84" t="str">
        <f t="shared" si="26"/>
        <v/>
      </c>
      <c r="J520" s="84" t="str">
        <f t="shared" si="27"/>
        <v/>
      </c>
      <c r="K520" s="80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spans="1:26" ht="15.75" customHeight="1" x14ac:dyDescent="0.25">
      <c r="A521" s="62"/>
      <c r="B521" s="62"/>
      <c r="C521" s="76"/>
      <c r="D521" s="77"/>
      <c r="E521" s="62"/>
      <c r="F521" s="83" t="str">
        <f t="shared" si="23"/>
        <v/>
      </c>
      <c r="G521" s="84" t="str">
        <f t="shared" si="24"/>
        <v/>
      </c>
      <c r="H521" s="84" t="str">
        <f t="shared" si="25"/>
        <v/>
      </c>
      <c r="I521" s="84" t="str">
        <f t="shared" si="26"/>
        <v/>
      </c>
      <c r="J521" s="84" t="str">
        <f t="shared" si="27"/>
        <v/>
      </c>
      <c r="K521" s="80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spans="1:26" ht="15.75" customHeight="1" x14ac:dyDescent="0.25">
      <c r="A522" s="62"/>
      <c r="B522" s="62"/>
      <c r="C522" s="76"/>
      <c r="D522" s="77"/>
      <c r="E522" s="62"/>
      <c r="F522" s="83" t="str">
        <f t="shared" si="23"/>
        <v/>
      </c>
      <c r="G522" s="84" t="str">
        <f t="shared" si="24"/>
        <v/>
      </c>
      <c r="H522" s="84" t="str">
        <f t="shared" si="25"/>
        <v/>
      </c>
      <c r="I522" s="84" t="str">
        <f t="shared" si="26"/>
        <v/>
      </c>
      <c r="J522" s="84" t="str">
        <f t="shared" si="27"/>
        <v/>
      </c>
      <c r="K522" s="80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spans="1:26" ht="15.75" customHeight="1" x14ac:dyDescent="0.25">
      <c r="A523" s="62"/>
      <c r="B523" s="62"/>
      <c r="C523" s="76"/>
      <c r="D523" s="77"/>
      <c r="E523" s="62"/>
      <c r="F523" s="83" t="str">
        <f t="shared" si="23"/>
        <v/>
      </c>
      <c r="G523" s="84" t="str">
        <f t="shared" si="24"/>
        <v/>
      </c>
      <c r="H523" s="84" t="str">
        <f t="shared" si="25"/>
        <v/>
      </c>
      <c r="I523" s="84" t="str">
        <f t="shared" si="26"/>
        <v/>
      </c>
      <c r="J523" s="84" t="str">
        <f t="shared" si="27"/>
        <v/>
      </c>
      <c r="K523" s="80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spans="1:26" ht="15.75" customHeight="1" x14ac:dyDescent="0.25">
      <c r="A524" s="62"/>
      <c r="B524" s="62"/>
      <c r="C524" s="76"/>
      <c r="D524" s="77"/>
      <c r="E524" s="62"/>
      <c r="F524" s="83" t="str">
        <f t="shared" si="23"/>
        <v/>
      </c>
      <c r="G524" s="84" t="str">
        <f t="shared" si="24"/>
        <v/>
      </c>
      <c r="H524" s="84" t="str">
        <f t="shared" si="25"/>
        <v/>
      </c>
      <c r="I524" s="84" t="str">
        <f t="shared" si="26"/>
        <v/>
      </c>
      <c r="J524" s="84" t="str">
        <f t="shared" si="27"/>
        <v/>
      </c>
      <c r="K524" s="80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spans="1:26" ht="15.75" customHeight="1" x14ac:dyDescent="0.25">
      <c r="A525" s="62"/>
      <c r="B525" s="62"/>
      <c r="C525" s="76"/>
      <c r="D525" s="77"/>
      <c r="E525" s="62"/>
      <c r="F525" s="83" t="str">
        <f t="shared" si="23"/>
        <v/>
      </c>
      <c r="G525" s="84" t="str">
        <f t="shared" si="24"/>
        <v/>
      </c>
      <c r="H525" s="84" t="str">
        <f t="shared" si="25"/>
        <v/>
      </c>
      <c r="I525" s="84" t="str">
        <f t="shared" si="26"/>
        <v/>
      </c>
      <c r="J525" s="84" t="str">
        <f t="shared" si="27"/>
        <v/>
      </c>
      <c r="K525" s="80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spans="1:26" ht="15.75" customHeight="1" x14ac:dyDescent="0.25">
      <c r="A526" s="62"/>
      <c r="B526" s="62"/>
      <c r="C526" s="76"/>
      <c r="D526" s="77"/>
      <c r="E526" s="62"/>
      <c r="F526" s="83" t="str">
        <f t="shared" si="23"/>
        <v/>
      </c>
      <c r="G526" s="84" t="str">
        <f t="shared" si="24"/>
        <v/>
      </c>
      <c r="H526" s="84" t="str">
        <f t="shared" si="25"/>
        <v/>
      </c>
      <c r="I526" s="84" t="str">
        <f t="shared" si="26"/>
        <v/>
      </c>
      <c r="J526" s="84" t="str">
        <f t="shared" si="27"/>
        <v/>
      </c>
      <c r="K526" s="80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spans="1:26" ht="15.75" customHeight="1" x14ac:dyDescent="0.25">
      <c r="A527" s="62"/>
      <c r="B527" s="62"/>
      <c r="C527" s="76"/>
      <c r="D527" s="77"/>
      <c r="E527" s="62"/>
      <c r="F527" s="83" t="str">
        <f t="shared" si="23"/>
        <v/>
      </c>
      <c r="G527" s="84" t="str">
        <f t="shared" si="24"/>
        <v/>
      </c>
      <c r="H527" s="84" t="str">
        <f t="shared" si="25"/>
        <v/>
      </c>
      <c r="I527" s="84" t="str">
        <f t="shared" si="26"/>
        <v/>
      </c>
      <c r="J527" s="84" t="str">
        <f t="shared" si="27"/>
        <v/>
      </c>
      <c r="K527" s="80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spans="1:26" ht="15.75" customHeight="1" x14ac:dyDescent="0.25">
      <c r="A528" s="62"/>
      <c r="B528" s="62"/>
      <c r="C528" s="76"/>
      <c r="D528" s="77"/>
      <c r="E528" s="62"/>
      <c r="F528" s="83" t="str">
        <f t="shared" si="23"/>
        <v/>
      </c>
      <c r="G528" s="84" t="str">
        <f t="shared" si="24"/>
        <v/>
      </c>
      <c r="H528" s="84" t="str">
        <f t="shared" si="25"/>
        <v/>
      </c>
      <c r="I528" s="84" t="str">
        <f t="shared" si="26"/>
        <v/>
      </c>
      <c r="J528" s="84" t="str">
        <f t="shared" si="27"/>
        <v/>
      </c>
      <c r="K528" s="80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spans="1:26" ht="15.75" customHeight="1" x14ac:dyDescent="0.25">
      <c r="A529" s="62"/>
      <c r="B529" s="62"/>
      <c r="C529" s="76"/>
      <c r="D529" s="77"/>
      <c r="E529" s="62"/>
      <c r="F529" s="83" t="str">
        <f t="shared" si="23"/>
        <v/>
      </c>
      <c r="G529" s="84" t="str">
        <f t="shared" si="24"/>
        <v/>
      </c>
      <c r="H529" s="84" t="str">
        <f t="shared" si="25"/>
        <v/>
      </c>
      <c r="I529" s="84" t="str">
        <f t="shared" si="26"/>
        <v/>
      </c>
      <c r="J529" s="84" t="str">
        <f t="shared" si="27"/>
        <v/>
      </c>
      <c r="K529" s="80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spans="1:26" ht="15.75" customHeight="1" x14ac:dyDescent="0.25">
      <c r="A530" s="62"/>
      <c r="B530" s="62"/>
      <c r="C530" s="76"/>
      <c r="D530" s="77"/>
      <c r="E530" s="62"/>
      <c r="F530" s="83" t="str">
        <f t="shared" si="23"/>
        <v/>
      </c>
      <c r="G530" s="84" t="str">
        <f t="shared" si="24"/>
        <v/>
      </c>
      <c r="H530" s="84" t="str">
        <f t="shared" si="25"/>
        <v/>
      </c>
      <c r="I530" s="84" t="str">
        <f t="shared" si="26"/>
        <v/>
      </c>
      <c r="J530" s="84" t="str">
        <f t="shared" si="27"/>
        <v/>
      </c>
      <c r="K530" s="80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spans="1:26" ht="15.75" customHeight="1" x14ac:dyDescent="0.25">
      <c r="A531" s="62"/>
      <c r="B531" s="62"/>
      <c r="C531" s="76"/>
      <c r="D531" s="77"/>
      <c r="E531" s="62"/>
      <c r="F531" s="83" t="str">
        <f t="shared" si="23"/>
        <v/>
      </c>
      <c r="G531" s="84" t="str">
        <f t="shared" si="24"/>
        <v/>
      </c>
      <c r="H531" s="84" t="str">
        <f t="shared" si="25"/>
        <v/>
      </c>
      <c r="I531" s="84" t="str">
        <f t="shared" si="26"/>
        <v/>
      </c>
      <c r="J531" s="84" t="str">
        <f t="shared" si="27"/>
        <v/>
      </c>
      <c r="K531" s="80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spans="1:26" ht="15.75" customHeight="1" x14ac:dyDescent="0.25">
      <c r="A532" s="62"/>
      <c r="B532" s="62"/>
      <c r="C532" s="76"/>
      <c r="D532" s="77"/>
      <c r="E532" s="62"/>
      <c r="F532" s="83" t="str">
        <f t="shared" si="23"/>
        <v/>
      </c>
      <c r="G532" s="84" t="str">
        <f t="shared" si="24"/>
        <v/>
      </c>
      <c r="H532" s="84" t="str">
        <f t="shared" si="25"/>
        <v/>
      </c>
      <c r="I532" s="84" t="str">
        <f t="shared" si="26"/>
        <v/>
      </c>
      <c r="J532" s="84" t="str">
        <f t="shared" si="27"/>
        <v/>
      </c>
      <c r="K532" s="80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spans="1:26" ht="15.75" customHeight="1" x14ac:dyDescent="0.25">
      <c r="A533" s="62"/>
      <c r="B533" s="62"/>
      <c r="C533" s="76"/>
      <c r="D533" s="77"/>
      <c r="E533" s="62"/>
      <c r="F533" s="83" t="str">
        <f t="shared" si="23"/>
        <v/>
      </c>
      <c r="G533" s="84" t="str">
        <f t="shared" si="24"/>
        <v/>
      </c>
      <c r="H533" s="84" t="str">
        <f t="shared" si="25"/>
        <v/>
      </c>
      <c r="I533" s="84" t="str">
        <f t="shared" si="26"/>
        <v/>
      </c>
      <c r="J533" s="84" t="str">
        <f t="shared" si="27"/>
        <v/>
      </c>
      <c r="K533" s="80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spans="1:26" ht="15.75" customHeight="1" x14ac:dyDescent="0.25">
      <c r="A534" s="62"/>
      <c r="B534" s="62"/>
      <c r="C534" s="76"/>
      <c r="D534" s="77"/>
      <c r="E534" s="62"/>
      <c r="F534" s="83" t="str">
        <f t="shared" si="23"/>
        <v/>
      </c>
      <c r="G534" s="84" t="str">
        <f t="shared" si="24"/>
        <v/>
      </c>
      <c r="H534" s="84" t="str">
        <f t="shared" si="25"/>
        <v/>
      </c>
      <c r="I534" s="84" t="str">
        <f t="shared" si="26"/>
        <v/>
      </c>
      <c r="J534" s="84" t="str">
        <f t="shared" si="27"/>
        <v/>
      </c>
      <c r="K534" s="80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spans="1:26" ht="15.75" customHeight="1" x14ac:dyDescent="0.25">
      <c r="A535" s="62"/>
      <c r="B535" s="62"/>
      <c r="C535" s="76"/>
      <c r="D535" s="77"/>
      <c r="E535" s="62"/>
      <c r="F535" s="83" t="str">
        <f t="shared" si="23"/>
        <v/>
      </c>
      <c r="G535" s="84" t="str">
        <f t="shared" si="24"/>
        <v/>
      </c>
      <c r="H535" s="84" t="str">
        <f t="shared" si="25"/>
        <v/>
      </c>
      <c r="I535" s="84" t="str">
        <f t="shared" si="26"/>
        <v/>
      </c>
      <c r="J535" s="84" t="str">
        <f t="shared" si="27"/>
        <v/>
      </c>
      <c r="K535" s="80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spans="1:26" ht="15.75" customHeight="1" x14ac:dyDescent="0.25">
      <c r="A536" s="62"/>
      <c r="B536" s="62"/>
      <c r="C536" s="76"/>
      <c r="D536" s="77"/>
      <c r="E536" s="62"/>
      <c r="F536" s="83" t="str">
        <f t="shared" si="23"/>
        <v/>
      </c>
      <c r="G536" s="84" t="str">
        <f t="shared" si="24"/>
        <v/>
      </c>
      <c r="H536" s="84" t="str">
        <f t="shared" si="25"/>
        <v/>
      </c>
      <c r="I536" s="84" t="str">
        <f t="shared" si="26"/>
        <v/>
      </c>
      <c r="J536" s="84" t="str">
        <f t="shared" si="27"/>
        <v/>
      </c>
      <c r="K536" s="80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spans="1:26" ht="15.75" customHeight="1" x14ac:dyDescent="0.25">
      <c r="A537" s="62"/>
      <c r="B537" s="62"/>
      <c r="C537" s="76"/>
      <c r="D537" s="77"/>
      <c r="E537" s="62"/>
      <c r="F537" s="83" t="str">
        <f t="shared" si="23"/>
        <v/>
      </c>
      <c r="G537" s="84" t="str">
        <f t="shared" si="24"/>
        <v/>
      </c>
      <c r="H537" s="84" t="str">
        <f t="shared" si="25"/>
        <v/>
      </c>
      <c r="I537" s="84" t="str">
        <f t="shared" si="26"/>
        <v/>
      </c>
      <c r="J537" s="84" t="str">
        <f t="shared" si="27"/>
        <v/>
      </c>
      <c r="K537" s="80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spans="1:26" ht="15.75" customHeight="1" x14ac:dyDescent="0.25">
      <c r="A538" s="62"/>
      <c r="B538" s="62"/>
      <c r="C538" s="76"/>
      <c r="D538" s="77"/>
      <c r="E538" s="62"/>
      <c r="F538" s="83" t="str">
        <f t="shared" si="23"/>
        <v/>
      </c>
      <c r="G538" s="84" t="str">
        <f t="shared" si="24"/>
        <v/>
      </c>
      <c r="H538" s="84" t="str">
        <f t="shared" si="25"/>
        <v/>
      </c>
      <c r="I538" s="84" t="str">
        <f t="shared" si="26"/>
        <v/>
      </c>
      <c r="J538" s="84" t="str">
        <f t="shared" si="27"/>
        <v/>
      </c>
      <c r="K538" s="80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spans="1:26" ht="15.75" customHeight="1" x14ac:dyDescent="0.25">
      <c r="A539" s="62"/>
      <c r="B539" s="62"/>
      <c r="C539" s="76"/>
      <c r="D539" s="77"/>
      <c r="E539" s="62"/>
      <c r="F539" s="83" t="str">
        <f t="shared" si="23"/>
        <v/>
      </c>
      <c r="G539" s="84" t="str">
        <f t="shared" si="24"/>
        <v/>
      </c>
      <c r="H539" s="84" t="str">
        <f t="shared" si="25"/>
        <v/>
      </c>
      <c r="I539" s="84" t="str">
        <f t="shared" si="26"/>
        <v/>
      </c>
      <c r="J539" s="84" t="str">
        <f t="shared" si="27"/>
        <v/>
      </c>
      <c r="K539" s="80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spans="1:26" ht="15.75" customHeight="1" x14ac:dyDescent="0.25">
      <c r="A540" s="62"/>
      <c r="B540" s="62"/>
      <c r="C540" s="76"/>
      <c r="D540" s="77"/>
      <c r="E540" s="62"/>
      <c r="F540" s="83" t="str">
        <f t="shared" si="23"/>
        <v/>
      </c>
      <c r="G540" s="84" t="str">
        <f t="shared" si="24"/>
        <v/>
      </c>
      <c r="H540" s="84" t="str">
        <f t="shared" si="25"/>
        <v/>
      </c>
      <c r="I540" s="84" t="str">
        <f t="shared" si="26"/>
        <v/>
      </c>
      <c r="J540" s="84" t="str">
        <f t="shared" si="27"/>
        <v/>
      </c>
      <c r="K540" s="80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spans="1:26" ht="15.75" customHeight="1" x14ac:dyDescent="0.25">
      <c r="A541" s="62"/>
      <c r="B541" s="62"/>
      <c r="C541" s="76"/>
      <c r="D541" s="77"/>
      <c r="E541" s="62"/>
      <c r="F541" s="83" t="str">
        <f t="shared" si="23"/>
        <v/>
      </c>
      <c r="G541" s="84" t="str">
        <f t="shared" si="24"/>
        <v/>
      </c>
      <c r="H541" s="84" t="str">
        <f t="shared" si="25"/>
        <v/>
      </c>
      <c r="I541" s="84" t="str">
        <f t="shared" si="26"/>
        <v/>
      </c>
      <c r="J541" s="84" t="str">
        <f t="shared" si="27"/>
        <v/>
      </c>
      <c r="K541" s="80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spans="1:26" ht="15.75" customHeight="1" x14ac:dyDescent="0.25">
      <c r="A542" s="62"/>
      <c r="B542" s="62"/>
      <c r="C542" s="76"/>
      <c r="D542" s="77"/>
      <c r="E542" s="62"/>
      <c r="F542" s="83" t="str">
        <f t="shared" si="23"/>
        <v/>
      </c>
      <c r="G542" s="84" t="str">
        <f t="shared" si="24"/>
        <v/>
      </c>
      <c r="H542" s="84" t="str">
        <f t="shared" si="25"/>
        <v/>
      </c>
      <c r="I542" s="84" t="str">
        <f t="shared" si="26"/>
        <v/>
      </c>
      <c r="J542" s="84" t="str">
        <f t="shared" si="27"/>
        <v/>
      </c>
      <c r="K542" s="80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spans="1:26" ht="15.75" customHeight="1" x14ac:dyDescent="0.25">
      <c r="A543" s="62"/>
      <c r="B543" s="62"/>
      <c r="C543" s="76"/>
      <c r="D543" s="77"/>
      <c r="E543" s="62"/>
      <c r="F543" s="83" t="str">
        <f t="shared" si="23"/>
        <v/>
      </c>
      <c r="G543" s="84" t="str">
        <f t="shared" si="24"/>
        <v/>
      </c>
      <c r="H543" s="84" t="str">
        <f t="shared" si="25"/>
        <v/>
      </c>
      <c r="I543" s="84" t="str">
        <f t="shared" si="26"/>
        <v/>
      </c>
      <c r="J543" s="84" t="str">
        <f t="shared" si="27"/>
        <v/>
      </c>
      <c r="K543" s="80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spans="1:26" ht="15.75" customHeight="1" x14ac:dyDescent="0.25">
      <c r="A544" s="62"/>
      <c r="B544" s="62"/>
      <c r="C544" s="76"/>
      <c r="D544" s="77"/>
      <c r="E544" s="62"/>
      <c r="F544" s="83" t="str">
        <f t="shared" si="23"/>
        <v/>
      </c>
      <c r="G544" s="84" t="str">
        <f t="shared" si="24"/>
        <v/>
      </c>
      <c r="H544" s="84" t="str">
        <f t="shared" si="25"/>
        <v/>
      </c>
      <c r="I544" s="84" t="str">
        <f t="shared" si="26"/>
        <v/>
      </c>
      <c r="J544" s="84" t="str">
        <f t="shared" si="27"/>
        <v/>
      </c>
      <c r="K544" s="80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spans="1:26" ht="15.75" customHeight="1" x14ac:dyDescent="0.25">
      <c r="A545" s="62"/>
      <c r="B545" s="62"/>
      <c r="C545" s="76"/>
      <c r="D545" s="77"/>
      <c r="E545" s="62"/>
      <c r="F545" s="83" t="str">
        <f t="shared" si="23"/>
        <v/>
      </c>
      <c r="G545" s="84" t="str">
        <f t="shared" si="24"/>
        <v/>
      </c>
      <c r="H545" s="84" t="str">
        <f t="shared" si="25"/>
        <v/>
      </c>
      <c r="I545" s="84" t="str">
        <f t="shared" si="26"/>
        <v/>
      </c>
      <c r="J545" s="84" t="str">
        <f t="shared" si="27"/>
        <v/>
      </c>
      <c r="K545" s="80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spans="1:26" ht="15.75" customHeight="1" x14ac:dyDescent="0.25">
      <c r="A546" s="62"/>
      <c r="B546" s="62"/>
      <c r="C546" s="76"/>
      <c r="D546" s="77"/>
      <c r="E546" s="62"/>
      <c r="F546" s="83" t="str">
        <f t="shared" si="23"/>
        <v/>
      </c>
      <c r="G546" s="84" t="str">
        <f t="shared" si="24"/>
        <v/>
      </c>
      <c r="H546" s="84" t="str">
        <f t="shared" si="25"/>
        <v/>
      </c>
      <c r="I546" s="84" t="str">
        <f t="shared" si="26"/>
        <v/>
      </c>
      <c r="J546" s="84" t="str">
        <f t="shared" si="27"/>
        <v/>
      </c>
      <c r="K546" s="80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spans="1:26" ht="15.75" customHeight="1" x14ac:dyDescent="0.25">
      <c r="A547" s="62"/>
      <c r="B547" s="62"/>
      <c r="C547" s="76"/>
      <c r="D547" s="77"/>
      <c r="E547" s="62"/>
      <c r="F547" s="83" t="str">
        <f t="shared" si="23"/>
        <v/>
      </c>
      <c r="G547" s="84" t="str">
        <f t="shared" si="24"/>
        <v/>
      </c>
      <c r="H547" s="84" t="str">
        <f t="shared" si="25"/>
        <v/>
      </c>
      <c r="I547" s="84" t="str">
        <f t="shared" si="26"/>
        <v/>
      </c>
      <c r="J547" s="84" t="str">
        <f t="shared" si="27"/>
        <v/>
      </c>
      <c r="K547" s="80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spans="1:26" ht="15.75" customHeight="1" x14ac:dyDescent="0.25">
      <c r="A548" s="62"/>
      <c r="B548" s="62"/>
      <c r="C548" s="76"/>
      <c r="D548" s="77"/>
      <c r="E548" s="62"/>
      <c r="F548" s="83" t="str">
        <f t="shared" si="23"/>
        <v/>
      </c>
      <c r="G548" s="84" t="str">
        <f t="shared" si="24"/>
        <v/>
      </c>
      <c r="H548" s="84" t="str">
        <f t="shared" si="25"/>
        <v/>
      </c>
      <c r="I548" s="84" t="str">
        <f t="shared" si="26"/>
        <v/>
      </c>
      <c r="J548" s="84" t="str">
        <f t="shared" si="27"/>
        <v/>
      </c>
      <c r="K548" s="80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spans="1:26" ht="15.75" customHeight="1" x14ac:dyDescent="0.25">
      <c r="A549" s="62"/>
      <c r="B549" s="62"/>
      <c r="C549" s="76"/>
      <c r="D549" s="77"/>
      <c r="E549" s="62"/>
      <c r="F549" s="83" t="str">
        <f t="shared" si="23"/>
        <v/>
      </c>
      <c r="G549" s="84" t="str">
        <f t="shared" si="24"/>
        <v/>
      </c>
      <c r="H549" s="84" t="str">
        <f t="shared" si="25"/>
        <v/>
      </c>
      <c r="I549" s="84" t="str">
        <f t="shared" si="26"/>
        <v/>
      </c>
      <c r="J549" s="84" t="str">
        <f t="shared" si="27"/>
        <v/>
      </c>
      <c r="K549" s="80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spans="1:26" ht="15.75" customHeight="1" x14ac:dyDescent="0.25">
      <c r="A550" s="62"/>
      <c r="B550" s="62"/>
      <c r="C550" s="76"/>
      <c r="D550" s="77"/>
      <c r="E550" s="62"/>
      <c r="F550" s="83" t="str">
        <f t="shared" si="23"/>
        <v/>
      </c>
      <c r="G550" s="84" t="str">
        <f t="shared" si="24"/>
        <v/>
      </c>
      <c r="H550" s="84" t="str">
        <f t="shared" si="25"/>
        <v/>
      </c>
      <c r="I550" s="84" t="str">
        <f t="shared" si="26"/>
        <v/>
      </c>
      <c r="J550" s="84" t="str">
        <f t="shared" si="27"/>
        <v/>
      </c>
      <c r="K550" s="80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spans="1:26" ht="15.75" customHeight="1" x14ac:dyDescent="0.25">
      <c r="A551" s="62"/>
      <c r="B551" s="62"/>
      <c r="C551" s="76"/>
      <c r="D551" s="77"/>
      <c r="E551" s="62"/>
      <c r="F551" s="83" t="str">
        <f t="shared" si="23"/>
        <v/>
      </c>
      <c r="G551" s="84" t="str">
        <f t="shared" si="24"/>
        <v/>
      </c>
      <c r="H551" s="84" t="str">
        <f t="shared" si="25"/>
        <v/>
      </c>
      <c r="I551" s="84" t="str">
        <f t="shared" si="26"/>
        <v/>
      </c>
      <c r="J551" s="84" t="str">
        <f t="shared" si="27"/>
        <v/>
      </c>
      <c r="K551" s="80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spans="1:26" ht="15.75" customHeight="1" x14ac:dyDescent="0.25">
      <c r="A552" s="62"/>
      <c r="B552" s="62"/>
      <c r="C552" s="76"/>
      <c r="D552" s="77"/>
      <c r="E552" s="62"/>
      <c r="F552" s="83" t="str">
        <f t="shared" si="23"/>
        <v/>
      </c>
      <c r="G552" s="84" t="str">
        <f t="shared" si="24"/>
        <v/>
      </c>
      <c r="H552" s="84" t="str">
        <f t="shared" si="25"/>
        <v/>
      </c>
      <c r="I552" s="84" t="str">
        <f t="shared" si="26"/>
        <v/>
      </c>
      <c r="J552" s="84" t="str">
        <f t="shared" si="27"/>
        <v/>
      </c>
      <c r="K552" s="80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spans="1:26" ht="15.75" customHeight="1" x14ac:dyDescent="0.25">
      <c r="A553" s="62"/>
      <c r="B553" s="62"/>
      <c r="C553" s="76"/>
      <c r="D553" s="77"/>
      <c r="E553" s="62"/>
      <c r="F553" s="83" t="str">
        <f t="shared" si="23"/>
        <v/>
      </c>
      <c r="G553" s="84" t="str">
        <f t="shared" si="24"/>
        <v/>
      </c>
      <c r="H553" s="84" t="str">
        <f t="shared" si="25"/>
        <v/>
      </c>
      <c r="I553" s="84" t="str">
        <f t="shared" si="26"/>
        <v/>
      </c>
      <c r="J553" s="84" t="str">
        <f t="shared" si="27"/>
        <v/>
      </c>
      <c r="K553" s="80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spans="1:26" ht="15.75" customHeight="1" x14ac:dyDescent="0.25">
      <c r="A554" s="62"/>
      <c r="B554" s="62"/>
      <c r="C554" s="76"/>
      <c r="D554" s="77"/>
      <c r="E554" s="62"/>
      <c r="F554" s="83" t="str">
        <f t="shared" si="23"/>
        <v/>
      </c>
      <c r="G554" s="84" t="str">
        <f t="shared" si="24"/>
        <v/>
      </c>
      <c r="H554" s="84" t="str">
        <f t="shared" si="25"/>
        <v/>
      </c>
      <c r="I554" s="84" t="str">
        <f t="shared" si="26"/>
        <v/>
      </c>
      <c r="J554" s="84" t="str">
        <f t="shared" si="27"/>
        <v/>
      </c>
      <c r="K554" s="80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spans="1:26" ht="15.75" customHeight="1" x14ac:dyDescent="0.25">
      <c r="A555" s="62"/>
      <c r="B555" s="62"/>
      <c r="C555" s="76"/>
      <c r="D555" s="77"/>
      <c r="E555" s="62"/>
      <c r="F555" s="83" t="str">
        <f t="shared" si="23"/>
        <v/>
      </c>
      <c r="G555" s="84" t="str">
        <f t="shared" si="24"/>
        <v/>
      </c>
      <c r="H555" s="84" t="str">
        <f t="shared" si="25"/>
        <v/>
      </c>
      <c r="I555" s="84" t="str">
        <f t="shared" si="26"/>
        <v/>
      </c>
      <c r="J555" s="84" t="str">
        <f t="shared" si="27"/>
        <v/>
      </c>
      <c r="K555" s="80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spans="1:26" ht="15.75" customHeight="1" x14ac:dyDescent="0.25">
      <c r="A556" s="62"/>
      <c r="B556" s="62"/>
      <c r="C556" s="76"/>
      <c r="D556" s="77"/>
      <c r="E556" s="62"/>
      <c r="F556" s="83" t="str">
        <f t="shared" si="23"/>
        <v/>
      </c>
      <c r="G556" s="84" t="str">
        <f t="shared" si="24"/>
        <v/>
      </c>
      <c r="H556" s="84" t="str">
        <f t="shared" si="25"/>
        <v/>
      </c>
      <c r="I556" s="84" t="str">
        <f t="shared" si="26"/>
        <v/>
      </c>
      <c r="J556" s="84" t="str">
        <f t="shared" si="27"/>
        <v/>
      </c>
      <c r="K556" s="80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spans="1:26" ht="15.75" customHeight="1" x14ac:dyDescent="0.25">
      <c r="A557" s="62"/>
      <c r="B557" s="62"/>
      <c r="C557" s="76"/>
      <c r="D557" s="77"/>
      <c r="E557" s="62"/>
      <c r="F557" s="83" t="str">
        <f t="shared" si="23"/>
        <v/>
      </c>
      <c r="G557" s="84" t="str">
        <f t="shared" si="24"/>
        <v/>
      </c>
      <c r="H557" s="84" t="str">
        <f t="shared" si="25"/>
        <v/>
      </c>
      <c r="I557" s="84" t="str">
        <f t="shared" si="26"/>
        <v/>
      </c>
      <c r="J557" s="84" t="str">
        <f t="shared" si="27"/>
        <v/>
      </c>
      <c r="K557" s="80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spans="1:26" ht="15.75" customHeight="1" x14ac:dyDescent="0.25">
      <c r="A558" s="62"/>
      <c r="B558" s="62"/>
      <c r="C558" s="76"/>
      <c r="D558" s="77"/>
      <c r="E558" s="62"/>
      <c r="F558" s="83" t="str">
        <f t="shared" si="23"/>
        <v/>
      </c>
      <c r="G558" s="84" t="str">
        <f t="shared" si="24"/>
        <v/>
      </c>
      <c r="H558" s="84" t="str">
        <f t="shared" si="25"/>
        <v/>
      </c>
      <c r="I558" s="84" t="str">
        <f t="shared" si="26"/>
        <v/>
      </c>
      <c r="J558" s="84" t="str">
        <f t="shared" si="27"/>
        <v/>
      </c>
      <c r="K558" s="80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spans="1:26" ht="15.75" customHeight="1" x14ac:dyDescent="0.25">
      <c r="A559" s="62"/>
      <c r="B559" s="62"/>
      <c r="C559" s="76"/>
      <c r="D559" s="77"/>
      <c r="E559" s="62"/>
      <c r="F559" s="83" t="str">
        <f t="shared" si="23"/>
        <v/>
      </c>
      <c r="G559" s="84" t="str">
        <f t="shared" si="24"/>
        <v/>
      </c>
      <c r="H559" s="84" t="str">
        <f t="shared" si="25"/>
        <v/>
      </c>
      <c r="I559" s="84" t="str">
        <f t="shared" si="26"/>
        <v/>
      </c>
      <c r="J559" s="84" t="str">
        <f t="shared" si="27"/>
        <v/>
      </c>
      <c r="K559" s="80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spans="1:26" ht="15.75" customHeight="1" x14ac:dyDescent="0.25">
      <c r="A560" s="62"/>
      <c r="B560" s="62"/>
      <c r="C560" s="76"/>
      <c r="D560" s="77"/>
      <c r="E560" s="62"/>
      <c r="F560" s="83" t="str">
        <f t="shared" si="23"/>
        <v/>
      </c>
      <c r="G560" s="84" t="str">
        <f t="shared" si="24"/>
        <v/>
      </c>
      <c r="H560" s="84" t="str">
        <f t="shared" si="25"/>
        <v/>
      </c>
      <c r="I560" s="84" t="str">
        <f t="shared" si="26"/>
        <v/>
      </c>
      <c r="J560" s="84" t="str">
        <f t="shared" si="27"/>
        <v/>
      </c>
      <c r="K560" s="80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spans="1:26" ht="15.75" customHeight="1" x14ac:dyDescent="0.25">
      <c r="A561" s="62"/>
      <c r="B561" s="62"/>
      <c r="C561" s="76"/>
      <c r="D561" s="77"/>
      <c r="E561" s="62"/>
      <c r="F561" s="83" t="str">
        <f t="shared" si="23"/>
        <v/>
      </c>
      <c r="G561" s="84" t="str">
        <f t="shared" si="24"/>
        <v/>
      </c>
      <c r="H561" s="84" t="str">
        <f t="shared" si="25"/>
        <v/>
      </c>
      <c r="I561" s="84" t="str">
        <f t="shared" si="26"/>
        <v/>
      </c>
      <c r="J561" s="84" t="str">
        <f t="shared" si="27"/>
        <v/>
      </c>
      <c r="K561" s="80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spans="1:26" ht="15.75" customHeight="1" x14ac:dyDescent="0.25">
      <c r="A562" s="62"/>
      <c r="B562" s="62"/>
      <c r="C562" s="76"/>
      <c r="D562" s="77"/>
      <c r="E562" s="62"/>
      <c r="F562" s="83" t="str">
        <f t="shared" si="23"/>
        <v/>
      </c>
      <c r="G562" s="84" t="str">
        <f t="shared" si="24"/>
        <v/>
      </c>
      <c r="H562" s="84" t="str">
        <f t="shared" si="25"/>
        <v/>
      </c>
      <c r="I562" s="84" t="str">
        <f t="shared" si="26"/>
        <v/>
      </c>
      <c r="J562" s="84" t="str">
        <f t="shared" si="27"/>
        <v/>
      </c>
      <c r="K562" s="80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spans="1:26" ht="15.75" customHeight="1" x14ac:dyDescent="0.25">
      <c r="A563" s="62"/>
      <c r="B563" s="62"/>
      <c r="C563" s="76"/>
      <c r="D563" s="77"/>
      <c r="E563" s="62"/>
      <c r="F563" s="83" t="str">
        <f t="shared" si="23"/>
        <v/>
      </c>
      <c r="G563" s="84" t="str">
        <f t="shared" si="24"/>
        <v/>
      </c>
      <c r="H563" s="84" t="str">
        <f t="shared" si="25"/>
        <v/>
      </c>
      <c r="I563" s="84" t="str">
        <f t="shared" si="26"/>
        <v/>
      </c>
      <c r="J563" s="84" t="str">
        <f t="shared" si="27"/>
        <v/>
      </c>
      <c r="K563" s="80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spans="1:26" ht="15.75" customHeight="1" x14ac:dyDescent="0.25">
      <c r="A564" s="62"/>
      <c r="B564" s="62"/>
      <c r="C564" s="76"/>
      <c r="D564" s="77"/>
      <c r="E564" s="62"/>
      <c r="F564" s="83" t="str">
        <f t="shared" si="23"/>
        <v/>
      </c>
      <c r="G564" s="84" t="str">
        <f t="shared" si="24"/>
        <v/>
      </c>
      <c r="H564" s="84" t="str">
        <f t="shared" si="25"/>
        <v/>
      </c>
      <c r="I564" s="84" t="str">
        <f t="shared" si="26"/>
        <v/>
      </c>
      <c r="J564" s="84" t="str">
        <f t="shared" si="27"/>
        <v/>
      </c>
      <c r="K564" s="80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spans="1:26" ht="15.75" customHeight="1" x14ac:dyDescent="0.25">
      <c r="A565" s="62"/>
      <c r="B565" s="62"/>
      <c r="C565" s="76"/>
      <c r="D565" s="77"/>
      <c r="E565" s="62"/>
      <c r="F565" s="83" t="str">
        <f t="shared" si="23"/>
        <v/>
      </c>
      <c r="G565" s="84" t="str">
        <f t="shared" si="24"/>
        <v/>
      </c>
      <c r="H565" s="84" t="str">
        <f t="shared" si="25"/>
        <v/>
      </c>
      <c r="I565" s="84" t="str">
        <f t="shared" si="26"/>
        <v/>
      </c>
      <c r="J565" s="84" t="str">
        <f t="shared" si="27"/>
        <v/>
      </c>
      <c r="K565" s="80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spans="1:26" ht="15.75" customHeight="1" x14ac:dyDescent="0.25">
      <c r="A566" s="62"/>
      <c r="B566" s="62"/>
      <c r="C566" s="76"/>
      <c r="D566" s="77"/>
      <c r="E566" s="62"/>
      <c r="F566" s="83" t="str">
        <f t="shared" si="23"/>
        <v/>
      </c>
      <c r="G566" s="84" t="str">
        <f t="shared" si="24"/>
        <v/>
      </c>
      <c r="H566" s="84" t="str">
        <f t="shared" si="25"/>
        <v/>
      </c>
      <c r="I566" s="84" t="str">
        <f t="shared" si="26"/>
        <v/>
      </c>
      <c r="J566" s="84" t="str">
        <f t="shared" si="27"/>
        <v/>
      </c>
      <c r="K566" s="80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spans="1:26" ht="15.75" customHeight="1" x14ac:dyDescent="0.25">
      <c r="A567" s="62"/>
      <c r="B567" s="62"/>
      <c r="C567" s="76"/>
      <c r="D567" s="77"/>
      <c r="E567" s="62"/>
      <c r="F567" s="83" t="str">
        <f t="shared" si="23"/>
        <v/>
      </c>
      <c r="G567" s="84" t="str">
        <f t="shared" si="24"/>
        <v/>
      </c>
      <c r="H567" s="84" t="str">
        <f t="shared" si="25"/>
        <v/>
      </c>
      <c r="I567" s="84" t="str">
        <f t="shared" si="26"/>
        <v/>
      </c>
      <c r="J567" s="84" t="str">
        <f t="shared" si="27"/>
        <v/>
      </c>
      <c r="K567" s="80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spans="1:26" ht="15.75" customHeight="1" x14ac:dyDescent="0.25">
      <c r="A568" s="62"/>
      <c r="B568" s="62"/>
      <c r="C568" s="76"/>
      <c r="D568" s="77"/>
      <c r="E568" s="62"/>
      <c r="F568" s="83" t="str">
        <f t="shared" si="23"/>
        <v/>
      </c>
      <c r="G568" s="84" t="str">
        <f t="shared" si="24"/>
        <v/>
      </c>
      <c r="H568" s="84" t="str">
        <f t="shared" si="25"/>
        <v/>
      </c>
      <c r="I568" s="84" t="str">
        <f t="shared" si="26"/>
        <v/>
      </c>
      <c r="J568" s="84" t="str">
        <f t="shared" si="27"/>
        <v/>
      </c>
      <c r="K568" s="80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spans="1:26" ht="15.75" customHeight="1" x14ac:dyDescent="0.25">
      <c r="A569" s="62"/>
      <c r="B569" s="62"/>
      <c r="C569" s="76"/>
      <c r="D569" s="77"/>
      <c r="E569" s="62"/>
      <c r="F569" s="83" t="str">
        <f t="shared" si="23"/>
        <v/>
      </c>
      <c r="G569" s="84" t="str">
        <f t="shared" si="24"/>
        <v/>
      </c>
      <c r="H569" s="84" t="str">
        <f t="shared" si="25"/>
        <v/>
      </c>
      <c r="I569" s="84" t="str">
        <f t="shared" si="26"/>
        <v/>
      </c>
      <c r="J569" s="84" t="str">
        <f t="shared" si="27"/>
        <v/>
      </c>
      <c r="K569" s="80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spans="1:26" ht="15.75" customHeight="1" x14ac:dyDescent="0.25">
      <c r="A570" s="62"/>
      <c r="B570" s="62"/>
      <c r="C570" s="76"/>
      <c r="D570" s="77"/>
      <c r="E570" s="62"/>
      <c r="F570" s="83" t="str">
        <f t="shared" si="23"/>
        <v/>
      </c>
      <c r="G570" s="84" t="str">
        <f t="shared" si="24"/>
        <v/>
      </c>
      <c r="H570" s="84" t="str">
        <f t="shared" si="25"/>
        <v/>
      </c>
      <c r="I570" s="84" t="str">
        <f t="shared" si="26"/>
        <v/>
      </c>
      <c r="J570" s="84" t="str">
        <f t="shared" si="27"/>
        <v/>
      </c>
      <c r="K570" s="80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spans="1:26" ht="15.75" customHeight="1" x14ac:dyDescent="0.25">
      <c r="A571" s="62"/>
      <c r="B571" s="62"/>
      <c r="C571" s="76"/>
      <c r="D571" s="77"/>
      <c r="E571" s="62"/>
      <c r="F571" s="83" t="str">
        <f t="shared" si="23"/>
        <v/>
      </c>
      <c r="G571" s="84" t="str">
        <f t="shared" si="24"/>
        <v/>
      </c>
      <c r="H571" s="84" t="str">
        <f t="shared" si="25"/>
        <v/>
      </c>
      <c r="I571" s="84" t="str">
        <f t="shared" si="26"/>
        <v/>
      </c>
      <c r="J571" s="84" t="str">
        <f t="shared" si="27"/>
        <v/>
      </c>
      <c r="K571" s="80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spans="1:26" ht="15.75" customHeight="1" x14ac:dyDescent="0.25">
      <c r="A572" s="62"/>
      <c r="B572" s="62"/>
      <c r="C572" s="76"/>
      <c r="D572" s="77"/>
      <c r="E572" s="62"/>
      <c r="F572" s="83" t="str">
        <f t="shared" si="23"/>
        <v/>
      </c>
      <c r="G572" s="84" t="str">
        <f t="shared" si="24"/>
        <v/>
      </c>
      <c r="H572" s="84" t="str">
        <f t="shared" si="25"/>
        <v/>
      </c>
      <c r="I572" s="84" t="str">
        <f t="shared" si="26"/>
        <v/>
      </c>
      <c r="J572" s="84" t="str">
        <f t="shared" si="27"/>
        <v/>
      </c>
      <c r="K572" s="80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spans="1:26" ht="15.75" customHeight="1" x14ac:dyDescent="0.25">
      <c r="A573" s="62"/>
      <c r="B573" s="62"/>
      <c r="C573" s="76"/>
      <c r="D573" s="77"/>
      <c r="E573" s="62"/>
      <c r="F573" s="83" t="str">
        <f t="shared" si="23"/>
        <v/>
      </c>
      <c r="G573" s="84" t="str">
        <f t="shared" si="24"/>
        <v/>
      </c>
      <c r="H573" s="84" t="str">
        <f t="shared" si="25"/>
        <v/>
      </c>
      <c r="I573" s="84" t="str">
        <f t="shared" si="26"/>
        <v/>
      </c>
      <c r="J573" s="84" t="str">
        <f t="shared" si="27"/>
        <v/>
      </c>
      <c r="K573" s="80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spans="1:26" ht="15.75" customHeight="1" x14ac:dyDescent="0.25">
      <c r="A574" s="62"/>
      <c r="B574" s="62"/>
      <c r="C574" s="76"/>
      <c r="D574" s="77"/>
      <c r="E574" s="62"/>
      <c r="F574" s="83" t="str">
        <f t="shared" si="23"/>
        <v/>
      </c>
      <c r="G574" s="84" t="str">
        <f t="shared" si="24"/>
        <v/>
      </c>
      <c r="H574" s="84" t="str">
        <f t="shared" si="25"/>
        <v/>
      </c>
      <c r="I574" s="84" t="str">
        <f t="shared" si="26"/>
        <v/>
      </c>
      <c r="J574" s="84" t="str">
        <f t="shared" si="27"/>
        <v/>
      </c>
      <c r="K574" s="80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spans="1:26" ht="15.75" customHeight="1" x14ac:dyDescent="0.25">
      <c r="A575" s="62"/>
      <c r="B575" s="62"/>
      <c r="C575" s="76"/>
      <c r="D575" s="77"/>
      <c r="E575" s="62"/>
      <c r="F575" s="83" t="str">
        <f t="shared" si="23"/>
        <v/>
      </c>
      <c r="G575" s="84" t="str">
        <f t="shared" si="24"/>
        <v/>
      </c>
      <c r="H575" s="84" t="str">
        <f t="shared" si="25"/>
        <v/>
      </c>
      <c r="I575" s="84" t="str">
        <f t="shared" si="26"/>
        <v/>
      </c>
      <c r="J575" s="84" t="str">
        <f t="shared" si="27"/>
        <v/>
      </c>
      <c r="K575" s="80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spans="1:26" ht="15.75" customHeight="1" x14ac:dyDescent="0.25">
      <c r="A576" s="62"/>
      <c r="B576" s="62"/>
      <c r="C576" s="76"/>
      <c r="D576" s="77"/>
      <c r="E576" s="62"/>
      <c r="F576" s="83" t="str">
        <f t="shared" si="23"/>
        <v/>
      </c>
      <c r="G576" s="84" t="str">
        <f t="shared" si="24"/>
        <v/>
      </c>
      <c r="H576" s="84" t="str">
        <f t="shared" si="25"/>
        <v/>
      </c>
      <c r="I576" s="84" t="str">
        <f t="shared" si="26"/>
        <v/>
      </c>
      <c r="J576" s="84" t="str">
        <f t="shared" si="27"/>
        <v/>
      </c>
      <c r="K576" s="80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spans="1:26" ht="15.75" customHeight="1" x14ac:dyDescent="0.25">
      <c r="A577" s="62"/>
      <c r="B577" s="62"/>
      <c r="C577" s="76"/>
      <c r="D577" s="77"/>
      <c r="E577" s="62"/>
      <c r="F577" s="83" t="str">
        <f t="shared" si="23"/>
        <v/>
      </c>
      <c r="G577" s="84" t="str">
        <f t="shared" si="24"/>
        <v/>
      </c>
      <c r="H577" s="84" t="str">
        <f t="shared" si="25"/>
        <v/>
      </c>
      <c r="I577" s="84" t="str">
        <f t="shared" si="26"/>
        <v/>
      </c>
      <c r="J577" s="84" t="str">
        <f t="shared" si="27"/>
        <v/>
      </c>
      <c r="K577" s="80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spans="1:26" ht="15.75" customHeight="1" x14ac:dyDescent="0.25">
      <c r="A578" s="62"/>
      <c r="B578" s="62"/>
      <c r="C578" s="76"/>
      <c r="D578" s="77"/>
      <c r="E578" s="62"/>
      <c r="F578" s="83" t="str">
        <f t="shared" si="23"/>
        <v/>
      </c>
      <c r="G578" s="84" t="str">
        <f t="shared" si="24"/>
        <v/>
      </c>
      <c r="H578" s="84" t="str">
        <f t="shared" si="25"/>
        <v/>
      </c>
      <c r="I578" s="84" t="str">
        <f t="shared" si="26"/>
        <v/>
      </c>
      <c r="J578" s="84" t="str">
        <f t="shared" si="27"/>
        <v/>
      </c>
      <c r="K578" s="80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spans="1:26" ht="15.75" customHeight="1" x14ac:dyDescent="0.25">
      <c r="A579" s="62"/>
      <c r="B579" s="62"/>
      <c r="C579" s="76"/>
      <c r="D579" s="77"/>
      <c r="E579" s="62"/>
      <c r="F579" s="83" t="str">
        <f t="shared" si="23"/>
        <v/>
      </c>
      <c r="G579" s="84" t="str">
        <f t="shared" si="24"/>
        <v/>
      </c>
      <c r="H579" s="84" t="str">
        <f t="shared" si="25"/>
        <v/>
      </c>
      <c r="I579" s="84" t="str">
        <f t="shared" si="26"/>
        <v/>
      </c>
      <c r="J579" s="84" t="str">
        <f t="shared" si="27"/>
        <v/>
      </c>
      <c r="K579" s="80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spans="1:26" ht="15.75" customHeight="1" x14ac:dyDescent="0.25">
      <c r="A580" s="62"/>
      <c r="B580" s="62"/>
      <c r="C580" s="76"/>
      <c r="D580" s="77"/>
      <c r="E580" s="62"/>
      <c r="F580" s="83" t="str">
        <f t="shared" si="23"/>
        <v/>
      </c>
      <c r="G580" s="84" t="str">
        <f t="shared" si="24"/>
        <v/>
      </c>
      <c r="H580" s="84" t="str">
        <f t="shared" si="25"/>
        <v/>
      </c>
      <c r="I580" s="84" t="str">
        <f t="shared" si="26"/>
        <v/>
      </c>
      <c r="J580" s="84" t="str">
        <f t="shared" si="27"/>
        <v/>
      </c>
      <c r="K580" s="80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spans="1:26" ht="15.75" customHeight="1" x14ac:dyDescent="0.25">
      <c r="A581" s="62"/>
      <c r="B581" s="62"/>
      <c r="C581" s="76"/>
      <c r="D581" s="77"/>
      <c r="E581" s="62"/>
      <c r="F581" s="83" t="str">
        <f t="shared" si="23"/>
        <v/>
      </c>
      <c r="G581" s="84" t="str">
        <f t="shared" si="24"/>
        <v/>
      </c>
      <c r="H581" s="84" t="str">
        <f t="shared" si="25"/>
        <v/>
      </c>
      <c r="I581" s="84" t="str">
        <f t="shared" si="26"/>
        <v/>
      </c>
      <c r="J581" s="84" t="str">
        <f t="shared" si="27"/>
        <v/>
      </c>
      <c r="K581" s="80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spans="1:26" ht="15.75" customHeight="1" x14ac:dyDescent="0.25">
      <c r="A582" s="62"/>
      <c r="B582" s="62"/>
      <c r="C582" s="76"/>
      <c r="D582" s="77"/>
      <c r="E582" s="62"/>
      <c r="F582" s="83" t="str">
        <f t="shared" si="23"/>
        <v/>
      </c>
      <c r="G582" s="84" t="str">
        <f t="shared" si="24"/>
        <v/>
      </c>
      <c r="H582" s="84" t="str">
        <f t="shared" si="25"/>
        <v/>
      </c>
      <c r="I582" s="84" t="str">
        <f t="shared" si="26"/>
        <v/>
      </c>
      <c r="J582" s="84" t="str">
        <f t="shared" si="27"/>
        <v/>
      </c>
      <c r="K582" s="80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spans="1:26" ht="15.75" customHeight="1" x14ac:dyDescent="0.25">
      <c r="A583" s="62"/>
      <c r="B583" s="62"/>
      <c r="C583" s="76"/>
      <c r="D583" s="77"/>
      <c r="E583" s="62"/>
      <c r="F583" s="83" t="str">
        <f t="shared" si="23"/>
        <v/>
      </c>
      <c r="G583" s="84" t="str">
        <f t="shared" si="24"/>
        <v/>
      </c>
      <c r="H583" s="84" t="str">
        <f t="shared" si="25"/>
        <v/>
      </c>
      <c r="I583" s="84" t="str">
        <f t="shared" si="26"/>
        <v/>
      </c>
      <c r="J583" s="84" t="str">
        <f t="shared" si="27"/>
        <v/>
      </c>
      <c r="K583" s="80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spans="1:26" ht="15.75" customHeight="1" x14ac:dyDescent="0.25">
      <c r="A584" s="62"/>
      <c r="B584" s="62"/>
      <c r="C584" s="76"/>
      <c r="D584" s="77"/>
      <c r="E584" s="62"/>
      <c r="F584" s="83" t="str">
        <f t="shared" si="23"/>
        <v/>
      </c>
      <c r="G584" s="84" t="str">
        <f t="shared" si="24"/>
        <v/>
      </c>
      <c r="H584" s="84" t="str">
        <f t="shared" si="25"/>
        <v/>
      </c>
      <c r="I584" s="84" t="str">
        <f t="shared" si="26"/>
        <v/>
      </c>
      <c r="J584" s="84" t="str">
        <f t="shared" si="27"/>
        <v/>
      </c>
      <c r="K584" s="80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spans="1:26" ht="15.75" customHeight="1" x14ac:dyDescent="0.25">
      <c r="A585" s="62"/>
      <c r="B585" s="62"/>
      <c r="C585" s="76"/>
      <c r="D585" s="77"/>
      <c r="E585" s="62"/>
      <c r="F585" s="83" t="str">
        <f t="shared" si="23"/>
        <v/>
      </c>
      <c r="G585" s="84" t="str">
        <f t="shared" si="24"/>
        <v/>
      </c>
      <c r="H585" s="84" t="str">
        <f t="shared" si="25"/>
        <v/>
      </c>
      <c r="I585" s="84" t="str">
        <f t="shared" si="26"/>
        <v/>
      </c>
      <c r="J585" s="84" t="str">
        <f t="shared" si="27"/>
        <v/>
      </c>
      <c r="K585" s="80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spans="1:26" ht="15.75" customHeight="1" x14ac:dyDescent="0.25">
      <c r="A586" s="62"/>
      <c r="B586" s="62"/>
      <c r="C586" s="76"/>
      <c r="D586" s="77"/>
      <c r="E586" s="62"/>
      <c r="F586" s="83" t="str">
        <f t="shared" si="23"/>
        <v/>
      </c>
      <c r="G586" s="84" t="str">
        <f t="shared" si="24"/>
        <v/>
      </c>
      <c r="H586" s="84" t="str">
        <f t="shared" si="25"/>
        <v/>
      </c>
      <c r="I586" s="84" t="str">
        <f t="shared" si="26"/>
        <v/>
      </c>
      <c r="J586" s="84" t="str">
        <f t="shared" si="27"/>
        <v/>
      </c>
      <c r="K586" s="80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spans="1:26" ht="15.75" customHeight="1" x14ac:dyDescent="0.25">
      <c r="A587" s="62"/>
      <c r="B587" s="62"/>
      <c r="C587" s="76"/>
      <c r="D587" s="77"/>
      <c r="E587" s="62"/>
      <c r="F587" s="83" t="str">
        <f t="shared" si="23"/>
        <v/>
      </c>
      <c r="G587" s="84" t="str">
        <f t="shared" si="24"/>
        <v/>
      </c>
      <c r="H587" s="84" t="str">
        <f t="shared" si="25"/>
        <v/>
      </c>
      <c r="I587" s="84" t="str">
        <f t="shared" si="26"/>
        <v/>
      </c>
      <c r="J587" s="84" t="str">
        <f t="shared" si="27"/>
        <v/>
      </c>
      <c r="K587" s="80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spans="1:26" ht="15.75" customHeight="1" x14ac:dyDescent="0.25">
      <c r="A588" s="62"/>
      <c r="B588" s="62"/>
      <c r="C588" s="76"/>
      <c r="D588" s="77"/>
      <c r="E588" s="62"/>
      <c r="F588" s="83" t="str">
        <f t="shared" si="23"/>
        <v/>
      </c>
      <c r="G588" s="84" t="str">
        <f t="shared" si="24"/>
        <v/>
      </c>
      <c r="H588" s="84" t="str">
        <f t="shared" si="25"/>
        <v/>
      </c>
      <c r="I588" s="84" t="str">
        <f t="shared" si="26"/>
        <v/>
      </c>
      <c r="J588" s="84" t="str">
        <f t="shared" si="27"/>
        <v/>
      </c>
      <c r="K588" s="80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spans="1:26" ht="15.75" customHeight="1" x14ac:dyDescent="0.25">
      <c r="A589" s="62"/>
      <c r="B589" s="62"/>
      <c r="C589" s="76"/>
      <c r="D589" s="77"/>
      <c r="E589" s="62"/>
      <c r="F589" s="83" t="str">
        <f t="shared" si="23"/>
        <v/>
      </c>
      <c r="G589" s="84" t="str">
        <f t="shared" si="24"/>
        <v/>
      </c>
      <c r="H589" s="84" t="str">
        <f t="shared" si="25"/>
        <v/>
      </c>
      <c r="I589" s="84" t="str">
        <f t="shared" si="26"/>
        <v/>
      </c>
      <c r="J589" s="84" t="str">
        <f t="shared" si="27"/>
        <v/>
      </c>
      <c r="K589" s="80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spans="1:26" ht="15.75" customHeight="1" x14ac:dyDescent="0.25">
      <c r="A590" s="62"/>
      <c r="B590" s="62"/>
      <c r="C590" s="76"/>
      <c r="D590" s="77"/>
      <c r="E590" s="62"/>
      <c r="F590" s="83" t="str">
        <f t="shared" si="23"/>
        <v/>
      </c>
      <c r="G590" s="84" t="str">
        <f t="shared" si="24"/>
        <v/>
      </c>
      <c r="H590" s="84" t="str">
        <f t="shared" si="25"/>
        <v/>
      </c>
      <c r="I590" s="84" t="str">
        <f t="shared" si="26"/>
        <v/>
      </c>
      <c r="J590" s="84" t="str">
        <f t="shared" si="27"/>
        <v/>
      </c>
      <c r="K590" s="80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spans="1:26" ht="15.75" customHeight="1" x14ac:dyDescent="0.25">
      <c r="A591" s="62"/>
      <c r="B591" s="62"/>
      <c r="C591" s="76"/>
      <c r="D591" s="77"/>
      <c r="E591" s="62"/>
      <c r="F591" s="83" t="str">
        <f t="shared" si="23"/>
        <v/>
      </c>
      <c r="G591" s="84" t="str">
        <f t="shared" si="24"/>
        <v/>
      </c>
      <c r="H591" s="84" t="str">
        <f t="shared" si="25"/>
        <v/>
      </c>
      <c r="I591" s="84" t="str">
        <f t="shared" si="26"/>
        <v/>
      </c>
      <c r="J591" s="84" t="str">
        <f t="shared" si="27"/>
        <v/>
      </c>
      <c r="K591" s="80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spans="1:26" ht="15.75" customHeight="1" x14ac:dyDescent="0.25">
      <c r="A592" s="62"/>
      <c r="B592" s="62"/>
      <c r="C592" s="76"/>
      <c r="D592" s="77"/>
      <c r="E592" s="62"/>
      <c r="F592" s="83" t="str">
        <f t="shared" si="23"/>
        <v/>
      </c>
      <c r="G592" s="84" t="str">
        <f t="shared" si="24"/>
        <v/>
      </c>
      <c r="H592" s="84" t="str">
        <f t="shared" si="25"/>
        <v/>
      </c>
      <c r="I592" s="84" t="str">
        <f t="shared" si="26"/>
        <v/>
      </c>
      <c r="J592" s="84" t="str">
        <f t="shared" si="27"/>
        <v/>
      </c>
      <c r="K592" s="80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spans="1:26" ht="15.75" customHeight="1" x14ac:dyDescent="0.25">
      <c r="A593" s="62"/>
      <c r="B593" s="62"/>
      <c r="C593" s="76"/>
      <c r="D593" s="77"/>
      <c r="E593" s="62"/>
      <c r="F593" s="83" t="str">
        <f t="shared" si="23"/>
        <v/>
      </c>
      <c r="G593" s="84" t="str">
        <f t="shared" si="24"/>
        <v/>
      </c>
      <c r="H593" s="84" t="str">
        <f t="shared" si="25"/>
        <v/>
      </c>
      <c r="I593" s="84" t="str">
        <f t="shared" si="26"/>
        <v/>
      </c>
      <c r="J593" s="84" t="str">
        <f t="shared" si="27"/>
        <v/>
      </c>
      <c r="K593" s="80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spans="1:26" ht="15.75" customHeight="1" x14ac:dyDescent="0.25">
      <c r="A594" s="62"/>
      <c r="B594" s="62"/>
      <c r="C594" s="76"/>
      <c r="D594" s="77"/>
      <c r="E594" s="62"/>
      <c r="F594" s="83" t="str">
        <f t="shared" si="23"/>
        <v/>
      </c>
      <c r="G594" s="84" t="str">
        <f t="shared" si="24"/>
        <v/>
      </c>
      <c r="H594" s="84" t="str">
        <f t="shared" si="25"/>
        <v/>
      </c>
      <c r="I594" s="84" t="str">
        <f t="shared" si="26"/>
        <v/>
      </c>
      <c r="J594" s="84" t="str">
        <f t="shared" si="27"/>
        <v/>
      </c>
      <c r="K594" s="80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spans="1:26" ht="15.75" customHeight="1" x14ac:dyDescent="0.25">
      <c r="A595" s="62"/>
      <c r="B595" s="62"/>
      <c r="C595" s="76"/>
      <c r="D595" s="77"/>
      <c r="E595" s="62"/>
      <c r="F595" s="83" t="str">
        <f t="shared" si="23"/>
        <v/>
      </c>
      <c r="G595" s="84" t="str">
        <f t="shared" si="24"/>
        <v/>
      </c>
      <c r="H595" s="84" t="str">
        <f t="shared" si="25"/>
        <v/>
      </c>
      <c r="I595" s="84" t="str">
        <f t="shared" si="26"/>
        <v/>
      </c>
      <c r="J595" s="84" t="str">
        <f t="shared" si="27"/>
        <v/>
      </c>
      <c r="K595" s="80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spans="1:26" ht="15.75" customHeight="1" x14ac:dyDescent="0.25">
      <c r="A596" s="62"/>
      <c r="B596" s="62"/>
      <c r="C596" s="76"/>
      <c r="D596" s="77"/>
      <c r="E596" s="62"/>
      <c r="F596" s="83" t="str">
        <f t="shared" si="23"/>
        <v/>
      </c>
      <c r="G596" s="84" t="str">
        <f t="shared" si="24"/>
        <v/>
      </c>
      <c r="H596" s="84" t="str">
        <f t="shared" si="25"/>
        <v/>
      </c>
      <c r="I596" s="84" t="str">
        <f t="shared" si="26"/>
        <v/>
      </c>
      <c r="J596" s="84" t="str">
        <f t="shared" si="27"/>
        <v/>
      </c>
      <c r="K596" s="80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spans="1:26" ht="15.75" customHeight="1" x14ac:dyDescent="0.25">
      <c r="A597" s="62"/>
      <c r="B597" s="62"/>
      <c r="C597" s="76"/>
      <c r="D597" s="77"/>
      <c r="E597" s="62"/>
      <c r="F597" s="83" t="str">
        <f t="shared" si="23"/>
        <v/>
      </c>
      <c r="G597" s="84" t="str">
        <f t="shared" si="24"/>
        <v/>
      </c>
      <c r="H597" s="84" t="str">
        <f t="shared" si="25"/>
        <v/>
      </c>
      <c r="I597" s="84" t="str">
        <f t="shared" si="26"/>
        <v/>
      </c>
      <c r="J597" s="84" t="str">
        <f t="shared" si="27"/>
        <v/>
      </c>
      <c r="K597" s="80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spans="1:26" ht="15.75" customHeight="1" x14ac:dyDescent="0.25">
      <c r="A598" s="62"/>
      <c r="B598" s="62"/>
      <c r="C598" s="76"/>
      <c r="D598" s="77"/>
      <c r="E598" s="62"/>
      <c r="F598" s="83" t="str">
        <f t="shared" si="23"/>
        <v/>
      </c>
      <c r="G598" s="84" t="str">
        <f t="shared" si="24"/>
        <v/>
      </c>
      <c r="H598" s="84" t="str">
        <f t="shared" si="25"/>
        <v/>
      </c>
      <c r="I598" s="84" t="str">
        <f t="shared" si="26"/>
        <v/>
      </c>
      <c r="J598" s="84" t="str">
        <f t="shared" si="27"/>
        <v/>
      </c>
      <c r="K598" s="80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spans="1:26" ht="15.75" customHeight="1" x14ac:dyDescent="0.25">
      <c r="A599" s="62"/>
      <c r="B599" s="62"/>
      <c r="C599" s="76"/>
      <c r="D599" s="77"/>
      <c r="E599" s="62"/>
      <c r="F599" s="83" t="str">
        <f t="shared" si="23"/>
        <v/>
      </c>
      <c r="G599" s="84" t="str">
        <f t="shared" si="24"/>
        <v/>
      </c>
      <c r="H599" s="84" t="str">
        <f t="shared" si="25"/>
        <v/>
      </c>
      <c r="I599" s="84" t="str">
        <f t="shared" si="26"/>
        <v/>
      </c>
      <c r="J599" s="84" t="str">
        <f t="shared" si="27"/>
        <v/>
      </c>
      <c r="K599" s="80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spans="1:26" ht="15.75" customHeight="1" x14ac:dyDescent="0.25">
      <c r="A600" s="62"/>
      <c r="B600" s="62"/>
      <c r="C600" s="76"/>
      <c r="D600" s="77"/>
      <c r="E600" s="62"/>
      <c r="F600" s="83" t="str">
        <f t="shared" si="23"/>
        <v/>
      </c>
      <c r="G600" s="84" t="str">
        <f t="shared" si="24"/>
        <v/>
      </c>
      <c r="H600" s="84" t="str">
        <f t="shared" si="25"/>
        <v/>
      </c>
      <c r="I600" s="84" t="str">
        <f t="shared" si="26"/>
        <v/>
      </c>
      <c r="J600" s="84" t="str">
        <f t="shared" si="27"/>
        <v/>
      </c>
      <c r="K600" s="80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spans="1:26" ht="15.75" customHeight="1" x14ac:dyDescent="0.25">
      <c r="A601" s="62"/>
      <c r="B601" s="62"/>
      <c r="C601" s="76"/>
      <c r="D601" s="77"/>
      <c r="E601" s="62"/>
      <c r="F601" s="83" t="str">
        <f t="shared" si="23"/>
        <v/>
      </c>
      <c r="G601" s="84" t="str">
        <f t="shared" si="24"/>
        <v/>
      </c>
      <c r="H601" s="84" t="str">
        <f t="shared" si="25"/>
        <v/>
      </c>
      <c r="I601" s="84" t="str">
        <f t="shared" si="26"/>
        <v/>
      </c>
      <c r="J601" s="84" t="str">
        <f t="shared" si="27"/>
        <v/>
      </c>
      <c r="K601" s="80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spans="1:26" ht="15.75" customHeight="1" x14ac:dyDescent="0.25">
      <c r="A602" s="62"/>
      <c r="B602" s="62"/>
      <c r="C602" s="76"/>
      <c r="D602" s="77"/>
      <c r="E602" s="62"/>
      <c r="F602" s="83" t="str">
        <f t="shared" si="23"/>
        <v/>
      </c>
      <c r="G602" s="84" t="str">
        <f t="shared" si="24"/>
        <v/>
      </c>
      <c r="H602" s="84" t="str">
        <f t="shared" si="25"/>
        <v/>
      </c>
      <c r="I602" s="84" t="str">
        <f t="shared" si="26"/>
        <v/>
      </c>
      <c r="J602" s="84" t="str">
        <f t="shared" si="27"/>
        <v/>
      </c>
      <c r="K602" s="80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spans="1:26" ht="15.75" customHeight="1" x14ac:dyDescent="0.25">
      <c r="A603" s="62"/>
      <c r="B603" s="62"/>
      <c r="C603" s="76"/>
      <c r="D603" s="77"/>
      <c r="E603" s="62"/>
      <c r="F603" s="83" t="str">
        <f t="shared" si="23"/>
        <v/>
      </c>
      <c r="G603" s="84" t="str">
        <f t="shared" si="24"/>
        <v/>
      </c>
      <c r="H603" s="84" t="str">
        <f t="shared" si="25"/>
        <v/>
      </c>
      <c r="I603" s="84" t="str">
        <f t="shared" si="26"/>
        <v/>
      </c>
      <c r="J603" s="84" t="str">
        <f t="shared" si="27"/>
        <v/>
      </c>
      <c r="K603" s="80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spans="1:26" ht="15.75" customHeight="1" x14ac:dyDescent="0.25">
      <c r="A604" s="62"/>
      <c r="B604" s="62"/>
      <c r="C604" s="76"/>
      <c r="D604" s="77"/>
      <c r="E604" s="62"/>
      <c r="F604" s="83" t="str">
        <f t="shared" si="23"/>
        <v/>
      </c>
      <c r="G604" s="84" t="str">
        <f t="shared" si="24"/>
        <v/>
      </c>
      <c r="H604" s="84" t="str">
        <f t="shared" si="25"/>
        <v/>
      </c>
      <c r="I604" s="84" t="str">
        <f t="shared" si="26"/>
        <v/>
      </c>
      <c r="J604" s="84" t="str">
        <f t="shared" si="27"/>
        <v/>
      </c>
      <c r="K604" s="80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spans="1:26" ht="15.75" customHeight="1" x14ac:dyDescent="0.25">
      <c r="A605" s="62"/>
      <c r="B605" s="62"/>
      <c r="C605" s="76"/>
      <c r="D605" s="77"/>
      <c r="E605" s="62"/>
      <c r="F605" s="83" t="str">
        <f t="shared" si="23"/>
        <v/>
      </c>
      <c r="G605" s="84" t="str">
        <f t="shared" si="24"/>
        <v/>
      </c>
      <c r="H605" s="84" t="str">
        <f t="shared" si="25"/>
        <v/>
      </c>
      <c r="I605" s="84" t="str">
        <f t="shared" si="26"/>
        <v/>
      </c>
      <c r="J605" s="84" t="str">
        <f t="shared" si="27"/>
        <v/>
      </c>
      <c r="K605" s="80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spans="1:26" ht="15.75" customHeight="1" x14ac:dyDescent="0.25">
      <c r="A606" s="62"/>
      <c r="B606" s="62"/>
      <c r="C606" s="76"/>
      <c r="D606" s="77"/>
      <c r="E606" s="62"/>
      <c r="F606" s="83" t="str">
        <f t="shared" si="23"/>
        <v/>
      </c>
      <c r="G606" s="84" t="str">
        <f t="shared" si="24"/>
        <v/>
      </c>
      <c r="H606" s="84" t="str">
        <f t="shared" si="25"/>
        <v/>
      </c>
      <c r="I606" s="84" t="str">
        <f t="shared" si="26"/>
        <v/>
      </c>
      <c r="J606" s="84" t="str">
        <f t="shared" si="27"/>
        <v/>
      </c>
      <c r="K606" s="80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spans="1:26" ht="15.75" customHeight="1" x14ac:dyDescent="0.25">
      <c r="A607" s="62"/>
      <c r="B607" s="62"/>
      <c r="C607" s="76"/>
      <c r="D607" s="77"/>
      <c r="E607" s="62"/>
      <c r="F607" s="83" t="str">
        <f t="shared" si="23"/>
        <v/>
      </c>
      <c r="G607" s="84" t="str">
        <f t="shared" si="24"/>
        <v/>
      </c>
      <c r="H607" s="84" t="str">
        <f t="shared" si="25"/>
        <v/>
      </c>
      <c r="I607" s="84" t="str">
        <f t="shared" si="26"/>
        <v/>
      </c>
      <c r="J607" s="84" t="str">
        <f t="shared" si="27"/>
        <v/>
      </c>
      <c r="K607" s="80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spans="1:26" ht="15.75" customHeight="1" x14ac:dyDescent="0.25">
      <c r="A608" s="62"/>
      <c r="B608" s="62"/>
      <c r="C608" s="76"/>
      <c r="D608" s="77"/>
      <c r="E608" s="62"/>
      <c r="F608" s="83" t="str">
        <f t="shared" si="23"/>
        <v/>
      </c>
      <c r="G608" s="84" t="str">
        <f t="shared" si="24"/>
        <v/>
      </c>
      <c r="H608" s="84" t="str">
        <f t="shared" si="25"/>
        <v/>
      </c>
      <c r="I608" s="84" t="str">
        <f t="shared" si="26"/>
        <v/>
      </c>
      <c r="J608" s="84" t="str">
        <f t="shared" si="27"/>
        <v/>
      </c>
      <c r="K608" s="80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spans="1:26" ht="15.75" customHeight="1" x14ac:dyDescent="0.25">
      <c r="A609" s="62"/>
      <c r="B609" s="62"/>
      <c r="C609" s="76"/>
      <c r="D609" s="77"/>
      <c r="E609" s="62"/>
      <c r="F609" s="83" t="str">
        <f t="shared" si="23"/>
        <v/>
      </c>
      <c r="G609" s="84" t="str">
        <f t="shared" si="24"/>
        <v/>
      </c>
      <c r="H609" s="84" t="str">
        <f t="shared" si="25"/>
        <v/>
      </c>
      <c r="I609" s="84" t="str">
        <f t="shared" si="26"/>
        <v/>
      </c>
      <c r="J609" s="84" t="str">
        <f t="shared" si="27"/>
        <v/>
      </c>
      <c r="K609" s="80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spans="1:26" ht="15.75" customHeight="1" x14ac:dyDescent="0.25">
      <c r="A610" s="62"/>
      <c r="B610" s="62"/>
      <c r="C610" s="76"/>
      <c r="D610" s="77"/>
      <c r="E610" s="62"/>
      <c r="F610" s="83" t="str">
        <f t="shared" si="23"/>
        <v/>
      </c>
      <c r="G610" s="84" t="str">
        <f t="shared" si="24"/>
        <v/>
      </c>
      <c r="H610" s="84" t="str">
        <f t="shared" si="25"/>
        <v/>
      </c>
      <c r="I610" s="84" t="str">
        <f t="shared" si="26"/>
        <v/>
      </c>
      <c r="J610" s="84" t="str">
        <f t="shared" si="27"/>
        <v/>
      </c>
      <c r="K610" s="80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spans="1:26" ht="15.75" customHeight="1" x14ac:dyDescent="0.25">
      <c r="A611" s="62"/>
      <c r="B611" s="62"/>
      <c r="C611" s="76"/>
      <c r="D611" s="77"/>
      <c r="E611" s="62"/>
      <c r="F611" s="83" t="str">
        <f t="shared" si="23"/>
        <v/>
      </c>
      <c r="G611" s="84" t="str">
        <f t="shared" si="24"/>
        <v/>
      </c>
      <c r="H611" s="84" t="str">
        <f t="shared" si="25"/>
        <v/>
      </c>
      <c r="I611" s="84" t="str">
        <f t="shared" si="26"/>
        <v/>
      </c>
      <c r="J611" s="84" t="str">
        <f t="shared" si="27"/>
        <v/>
      </c>
      <c r="K611" s="80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spans="1:26" ht="15.75" customHeight="1" x14ac:dyDescent="0.25">
      <c r="A612" s="62"/>
      <c r="B612" s="62"/>
      <c r="C612" s="76"/>
      <c r="D612" s="77"/>
      <c r="E612" s="62"/>
      <c r="F612" s="83" t="str">
        <f t="shared" si="23"/>
        <v/>
      </c>
      <c r="G612" s="84" t="str">
        <f t="shared" si="24"/>
        <v/>
      </c>
      <c r="H612" s="84" t="str">
        <f t="shared" si="25"/>
        <v/>
      </c>
      <c r="I612" s="84" t="str">
        <f t="shared" si="26"/>
        <v/>
      </c>
      <c r="J612" s="84" t="str">
        <f t="shared" si="27"/>
        <v/>
      </c>
      <c r="K612" s="80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spans="1:26" ht="15.75" customHeight="1" x14ac:dyDescent="0.25">
      <c r="A613" s="62"/>
      <c r="B613" s="62"/>
      <c r="C613" s="76"/>
      <c r="D613" s="77"/>
      <c r="E613" s="62"/>
      <c r="F613" s="83" t="str">
        <f t="shared" si="23"/>
        <v/>
      </c>
      <c r="G613" s="84" t="str">
        <f t="shared" si="24"/>
        <v/>
      </c>
      <c r="H613" s="84" t="str">
        <f t="shared" si="25"/>
        <v/>
      </c>
      <c r="I613" s="84" t="str">
        <f t="shared" si="26"/>
        <v/>
      </c>
      <c r="J613" s="84" t="str">
        <f t="shared" si="27"/>
        <v/>
      </c>
      <c r="K613" s="80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spans="1:26" ht="15.75" customHeight="1" x14ac:dyDescent="0.25">
      <c r="A614" s="62"/>
      <c r="B614" s="62"/>
      <c r="C614" s="76"/>
      <c r="D614" s="77"/>
      <c r="E614" s="62"/>
      <c r="F614" s="83" t="str">
        <f t="shared" si="23"/>
        <v/>
      </c>
      <c r="G614" s="84" t="str">
        <f t="shared" si="24"/>
        <v/>
      </c>
      <c r="H614" s="84" t="str">
        <f t="shared" si="25"/>
        <v/>
      </c>
      <c r="I614" s="84" t="str">
        <f t="shared" si="26"/>
        <v/>
      </c>
      <c r="J614" s="84" t="str">
        <f t="shared" si="27"/>
        <v/>
      </c>
      <c r="K614" s="80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spans="1:26" ht="15.75" customHeight="1" x14ac:dyDescent="0.25">
      <c r="A615" s="62"/>
      <c r="B615" s="62"/>
      <c r="C615" s="76"/>
      <c r="D615" s="77"/>
      <c r="E615" s="62"/>
      <c r="F615" s="83" t="str">
        <f t="shared" si="23"/>
        <v/>
      </c>
      <c r="G615" s="84" t="str">
        <f t="shared" si="24"/>
        <v/>
      </c>
      <c r="H615" s="84" t="str">
        <f t="shared" si="25"/>
        <v/>
      </c>
      <c r="I615" s="84" t="str">
        <f t="shared" si="26"/>
        <v/>
      </c>
      <c r="J615" s="84" t="str">
        <f t="shared" si="27"/>
        <v/>
      </c>
      <c r="K615" s="80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spans="1:26" ht="15.75" customHeight="1" x14ac:dyDescent="0.25">
      <c r="A616" s="62"/>
      <c r="B616" s="62"/>
      <c r="C616" s="76"/>
      <c r="D616" s="77"/>
      <c r="E616" s="62"/>
      <c r="F616" s="83" t="str">
        <f t="shared" si="23"/>
        <v/>
      </c>
      <c r="G616" s="84" t="str">
        <f t="shared" si="24"/>
        <v/>
      </c>
      <c r="H616" s="84" t="str">
        <f t="shared" si="25"/>
        <v/>
      </c>
      <c r="I616" s="84" t="str">
        <f t="shared" si="26"/>
        <v/>
      </c>
      <c r="J616" s="84" t="str">
        <f t="shared" si="27"/>
        <v/>
      </c>
      <c r="K616" s="80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spans="1:26" ht="15.75" customHeight="1" x14ac:dyDescent="0.25">
      <c r="A617" s="62"/>
      <c r="B617" s="62"/>
      <c r="C617" s="76"/>
      <c r="D617" s="77"/>
      <c r="E617" s="62"/>
      <c r="F617" s="83" t="str">
        <f t="shared" si="23"/>
        <v/>
      </c>
      <c r="G617" s="84" t="str">
        <f t="shared" si="24"/>
        <v/>
      </c>
      <c r="H617" s="84" t="str">
        <f t="shared" si="25"/>
        <v/>
      </c>
      <c r="I617" s="84" t="str">
        <f t="shared" si="26"/>
        <v/>
      </c>
      <c r="J617" s="84" t="str">
        <f t="shared" si="27"/>
        <v/>
      </c>
      <c r="K617" s="80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spans="1:26" ht="15.75" customHeight="1" x14ac:dyDescent="0.25">
      <c r="A618" s="62"/>
      <c r="B618" s="62"/>
      <c r="C618" s="76"/>
      <c r="D618" s="77"/>
      <c r="E618" s="62"/>
      <c r="F618" s="83" t="str">
        <f t="shared" si="23"/>
        <v/>
      </c>
      <c r="G618" s="84" t="str">
        <f t="shared" si="24"/>
        <v/>
      </c>
      <c r="H618" s="84" t="str">
        <f t="shared" si="25"/>
        <v/>
      </c>
      <c r="I618" s="84" t="str">
        <f t="shared" si="26"/>
        <v/>
      </c>
      <c r="J618" s="84" t="str">
        <f t="shared" si="27"/>
        <v/>
      </c>
      <c r="K618" s="80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spans="1:26" ht="15.75" customHeight="1" x14ac:dyDescent="0.25">
      <c r="A619" s="62"/>
      <c r="B619" s="62"/>
      <c r="C619" s="76"/>
      <c r="D619" s="77"/>
      <c r="E619" s="62"/>
      <c r="F619" s="83" t="str">
        <f t="shared" si="23"/>
        <v/>
      </c>
      <c r="G619" s="84" t="str">
        <f t="shared" si="24"/>
        <v/>
      </c>
      <c r="H619" s="84" t="str">
        <f t="shared" si="25"/>
        <v/>
      </c>
      <c r="I619" s="84" t="str">
        <f t="shared" si="26"/>
        <v/>
      </c>
      <c r="J619" s="84" t="str">
        <f t="shared" si="27"/>
        <v/>
      </c>
      <c r="K619" s="80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spans="1:26" ht="15.75" customHeight="1" x14ac:dyDescent="0.25">
      <c r="A620" s="62"/>
      <c r="B620" s="62"/>
      <c r="C620" s="76"/>
      <c r="D620" s="77"/>
      <c r="E620" s="62"/>
      <c r="F620" s="83" t="str">
        <f t="shared" si="23"/>
        <v/>
      </c>
      <c r="G620" s="84" t="str">
        <f t="shared" si="24"/>
        <v/>
      </c>
      <c r="H620" s="84" t="str">
        <f t="shared" si="25"/>
        <v/>
      </c>
      <c r="I620" s="84" t="str">
        <f t="shared" si="26"/>
        <v/>
      </c>
      <c r="J620" s="84" t="str">
        <f t="shared" si="27"/>
        <v/>
      </c>
      <c r="K620" s="80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spans="1:26" ht="15.75" customHeight="1" x14ac:dyDescent="0.25">
      <c r="A621" s="62"/>
      <c r="B621" s="62"/>
      <c r="C621" s="76"/>
      <c r="D621" s="77"/>
      <c r="E621" s="62"/>
      <c r="F621" s="83" t="str">
        <f t="shared" si="23"/>
        <v/>
      </c>
      <c r="G621" s="84" t="str">
        <f t="shared" si="24"/>
        <v/>
      </c>
      <c r="H621" s="84" t="str">
        <f t="shared" si="25"/>
        <v/>
      </c>
      <c r="I621" s="84" t="str">
        <f t="shared" si="26"/>
        <v/>
      </c>
      <c r="J621" s="84" t="str">
        <f t="shared" si="27"/>
        <v/>
      </c>
      <c r="K621" s="80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spans="1:26" ht="15.75" customHeight="1" x14ac:dyDescent="0.25">
      <c r="A622" s="62"/>
      <c r="B622" s="62"/>
      <c r="C622" s="76"/>
      <c r="D622" s="77"/>
      <c r="E622" s="62"/>
      <c r="F622" s="83" t="str">
        <f t="shared" si="23"/>
        <v/>
      </c>
      <c r="G622" s="84" t="str">
        <f t="shared" si="24"/>
        <v/>
      </c>
      <c r="H622" s="84" t="str">
        <f t="shared" si="25"/>
        <v/>
      </c>
      <c r="I622" s="84" t="str">
        <f t="shared" si="26"/>
        <v/>
      </c>
      <c r="J622" s="84" t="str">
        <f t="shared" si="27"/>
        <v/>
      </c>
      <c r="K622" s="80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spans="1:26" ht="15.75" customHeight="1" x14ac:dyDescent="0.25">
      <c r="A623" s="62"/>
      <c r="B623" s="62"/>
      <c r="C623" s="76"/>
      <c r="D623" s="77"/>
      <c r="E623" s="62"/>
      <c r="F623" s="83" t="str">
        <f t="shared" si="23"/>
        <v/>
      </c>
      <c r="G623" s="84" t="str">
        <f t="shared" si="24"/>
        <v/>
      </c>
      <c r="H623" s="84" t="str">
        <f t="shared" si="25"/>
        <v/>
      </c>
      <c r="I623" s="84" t="str">
        <f t="shared" si="26"/>
        <v/>
      </c>
      <c r="J623" s="84" t="str">
        <f t="shared" si="27"/>
        <v/>
      </c>
      <c r="K623" s="80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spans="1:26" ht="15.75" customHeight="1" x14ac:dyDescent="0.25">
      <c r="A624" s="62"/>
      <c r="B624" s="62"/>
      <c r="C624" s="76"/>
      <c r="D624" s="77"/>
      <c r="E624" s="62"/>
      <c r="F624" s="83" t="str">
        <f t="shared" si="23"/>
        <v/>
      </c>
      <c r="G624" s="84" t="str">
        <f t="shared" si="24"/>
        <v/>
      </c>
      <c r="H624" s="84" t="str">
        <f t="shared" si="25"/>
        <v/>
      </c>
      <c r="I624" s="84" t="str">
        <f t="shared" si="26"/>
        <v/>
      </c>
      <c r="J624" s="84" t="str">
        <f t="shared" si="27"/>
        <v/>
      </c>
      <c r="K624" s="80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spans="1:26" ht="15.75" customHeight="1" x14ac:dyDescent="0.25">
      <c r="A625" s="62"/>
      <c r="B625" s="62"/>
      <c r="C625" s="76"/>
      <c r="D625" s="77"/>
      <c r="E625" s="62"/>
      <c r="F625" s="83" t="str">
        <f t="shared" si="23"/>
        <v/>
      </c>
      <c r="G625" s="84" t="str">
        <f t="shared" si="24"/>
        <v/>
      </c>
      <c r="H625" s="84" t="str">
        <f t="shared" si="25"/>
        <v/>
      </c>
      <c r="I625" s="84" t="str">
        <f t="shared" si="26"/>
        <v/>
      </c>
      <c r="J625" s="84" t="str">
        <f t="shared" si="27"/>
        <v/>
      </c>
      <c r="K625" s="80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spans="1:26" ht="15.75" customHeight="1" x14ac:dyDescent="0.25">
      <c r="A626" s="62"/>
      <c r="B626" s="62"/>
      <c r="C626" s="76"/>
      <c r="D626" s="77"/>
      <c r="E626" s="62"/>
      <c r="F626" s="83" t="str">
        <f t="shared" si="23"/>
        <v/>
      </c>
      <c r="G626" s="84" t="str">
        <f t="shared" si="24"/>
        <v/>
      </c>
      <c r="H626" s="84" t="str">
        <f t="shared" si="25"/>
        <v/>
      </c>
      <c r="I626" s="84" t="str">
        <f t="shared" si="26"/>
        <v/>
      </c>
      <c r="J626" s="84" t="str">
        <f t="shared" si="27"/>
        <v/>
      </c>
      <c r="K626" s="80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spans="1:26" ht="15.75" customHeight="1" x14ac:dyDescent="0.25">
      <c r="A627" s="62"/>
      <c r="B627" s="62"/>
      <c r="C627" s="76"/>
      <c r="D627" s="77"/>
      <c r="E627" s="62"/>
      <c r="F627" s="83" t="str">
        <f t="shared" si="23"/>
        <v/>
      </c>
      <c r="G627" s="84" t="str">
        <f t="shared" si="24"/>
        <v/>
      </c>
      <c r="H627" s="84" t="str">
        <f t="shared" si="25"/>
        <v/>
      </c>
      <c r="I627" s="84" t="str">
        <f t="shared" si="26"/>
        <v/>
      </c>
      <c r="J627" s="84" t="str">
        <f t="shared" si="27"/>
        <v/>
      </c>
      <c r="K627" s="80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spans="1:26" ht="15.75" customHeight="1" x14ac:dyDescent="0.25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ed" si="24"/>
        <v/>
      </c>
      <c r="H628" s="84" t="str">
        <f t="shared" si="25"/>
        <v/>
      </c>
      <c r="I628" s="84" t="str">
        <f t="shared" si="26"/>
        <v/>
      </c>
      <c r="J628" s="84" t="str">
        <f t="shared" si="27"/>
        <v/>
      </c>
      <c r="K628" s="80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spans="1:26" ht="15.75" customHeight="1" x14ac:dyDescent="0.25">
      <c r="A629" s="62"/>
      <c r="B629" s="62"/>
      <c r="C629" s="76"/>
      <c r="D629" s="77"/>
      <c r="E629" s="62"/>
      <c r="F629" s="83" t="str">
        <f t="shared" si="23"/>
        <v/>
      </c>
      <c r="G629" s="84" t="str">
        <f t="shared" si="24"/>
        <v/>
      </c>
      <c r="H629" s="84" t="str">
        <f t="shared" si="25"/>
        <v/>
      </c>
      <c r="I629" s="84" t="str">
        <f t="shared" si="26"/>
        <v/>
      </c>
      <c r="J629" s="84" t="str">
        <f t="shared" si="27"/>
        <v/>
      </c>
      <c r="K629" s="80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spans="1:26" ht="15.75" customHeight="1" x14ac:dyDescent="0.25">
      <c r="A630" s="62"/>
      <c r="B630" s="62"/>
      <c r="C630" s="76"/>
      <c r="D630" s="77"/>
      <c r="E630" s="62"/>
      <c r="F630" s="83" t="str">
        <f t="shared" si="23"/>
        <v/>
      </c>
      <c r="G630" s="84" t="str">
        <f t="shared" si="24"/>
        <v/>
      </c>
      <c r="H630" s="84" t="str">
        <f t="shared" si="25"/>
        <v/>
      </c>
      <c r="I630" s="84" t="str">
        <f t="shared" si="26"/>
        <v/>
      </c>
      <c r="J630" s="84" t="str">
        <f t="shared" si="27"/>
        <v/>
      </c>
      <c r="K630" s="80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spans="1:26" ht="15.75" customHeight="1" x14ac:dyDescent="0.25">
      <c r="A631" s="62"/>
      <c r="B631" s="62"/>
      <c r="C631" s="76"/>
      <c r="D631" s="77"/>
      <c r="E631" s="62"/>
      <c r="F631" s="83" t="str">
        <f t="shared" si="23"/>
        <v/>
      </c>
      <c r="G631" s="84" t="str">
        <f t="shared" si="24"/>
        <v/>
      </c>
      <c r="H631" s="84" t="str">
        <f t="shared" si="25"/>
        <v/>
      </c>
      <c r="I631" s="84" t="str">
        <f t="shared" si="26"/>
        <v/>
      </c>
      <c r="J631" s="84" t="str">
        <f t="shared" si="27"/>
        <v/>
      </c>
      <c r="K631" s="80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spans="1:26" ht="15.75" customHeight="1" x14ac:dyDescent="0.25">
      <c r="A632" s="62"/>
      <c r="B632" s="62"/>
      <c r="C632" s="76"/>
      <c r="D632" s="77"/>
      <c r="E632" s="62"/>
      <c r="F632" s="83" t="str">
        <f t="shared" si="23"/>
        <v/>
      </c>
      <c r="G632" s="84" t="str">
        <f t="shared" si="24"/>
        <v/>
      </c>
      <c r="H632" s="84" t="str">
        <f t="shared" si="25"/>
        <v/>
      </c>
      <c r="I632" s="84" t="str">
        <f t="shared" si="26"/>
        <v/>
      </c>
      <c r="J632" s="84" t="str">
        <f t="shared" si="27"/>
        <v/>
      </c>
      <c r="K632" s="80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spans="1:26" ht="15.75" customHeight="1" x14ac:dyDescent="0.25">
      <c r="A633" s="62"/>
      <c r="B633" s="62"/>
      <c r="C633" s="76"/>
      <c r="D633" s="77"/>
      <c r="E633" s="62"/>
      <c r="F633" s="62"/>
      <c r="G633" s="76"/>
      <c r="H633" s="76"/>
      <c r="I633" s="76"/>
      <c r="J633" s="76"/>
      <c r="K633" s="76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spans="1:26" ht="15.75" customHeight="1" x14ac:dyDescent="0.25">
      <c r="A634" s="62"/>
      <c r="B634" s="62"/>
      <c r="C634" s="76"/>
      <c r="D634" s="77"/>
      <c r="E634" s="62"/>
      <c r="F634" s="62"/>
      <c r="G634" s="76"/>
      <c r="H634" s="76"/>
      <c r="I634" s="76"/>
      <c r="J634" s="76"/>
      <c r="K634" s="76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spans="1:26" ht="15.75" customHeight="1" x14ac:dyDescent="0.25">
      <c r="A635" s="62"/>
      <c r="B635" s="62"/>
      <c r="C635" s="76"/>
      <c r="D635" s="77"/>
      <c r="E635" s="62"/>
      <c r="F635" s="62"/>
      <c r="G635" s="76"/>
      <c r="H635" s="76"/>
      <c r="I635" s="76"/>
      <c r="J635" s="76"/>
      <c r="K635" s="76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spans="1:26" ht="15.75" customHeight="1" x14ac:dyDescent="0.25">
      <c r="A636" s="62"/>
      <c r="B636" s="62"/>
      <c r="C636" s="76"/>
      <c r="D636" s="77"/>
      <c r="E636" s="62"/>
      <c r="F636" s="62"/>
      <c r="G636" s="76"/>
      <c r="H636" s="76"/>
      <c r="I636" s="76"/>
      <c r="J636" s="76"/>
      <c r="K636" s="76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spans="1:26" ht="15.75" customHeight="1" x14ac:dyDescent="0.25">
      <c r="A637" s="62"/>
      <c r="B637" s="62"/>
      <c r="C637" s="76"/>
      <c r="D637" s="77"/>
      <c r="E637" s="62"/>
      <c r="F637" s="62"/>
      <c r="G637" s="76"/>
      <c r="H637" s="76"/>
      <c r="I637" s="76"/>
      <c r="J637" s="76"/>
      <c r="K637" s="76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spans="1:26" ht="15.75" customHeight="1" x14ac:dyDescent="0.25">
      <c r="A638" s="62"/>
      <c r="B638" s="62"/>
      <c r="C638" s="76"/>
      <c r="D638" s="77"/>
      <c r="E638" s="62"/>
      <c r="F638" s="62"/>
      <c r="G638" s="76"/>
      <c r="H638" s="76"/>
      <c r="I638" s="76"/>
      <c r="J638" s="76"/>
      <c r="K638" s="76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spans="1:26" ht="15.75" customHeight="1" x14ac:dyDescent="0.25">
      <c r="A639" s="62"/>
      <c r="B639" s="62"/>
      <c r="C639" s="76"/>
      <c r="D639" s="77"/>
      <c r="E639" s="62"/>
      <c r="F639" s="62"/>
      <c r="G639" s="76"/>
      <c r="H639" s="76"/>
      <c r="I639" s="76"/>
      <c r="J639" s="76"/>
      <c r="K639" s="76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spans="1:26" ht="15.75" customHeight="1" x14ac:dyDescent="0.25">
      <c r="A640" s="62"/>
      <c r="B640" s="62"/>
      <c r="C640" s="76"/>
      <c r="D640" s="77"/>
      <c r="E640" s="62"/>
      <c r="F640" s="62"/>
      <c r="G640" s="76"/>
      <c r="H640" s="76"/>
      <c r="I640" s="76"/>
      <c r="J640" s="76"/>
      <c r="K640" s="76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spans="1:26" ht="15.75" customHeight="1" x14ac:dyDescent="0.25">
      <c r="A641" s="62"/>
      <c r="B641" s="62"/>
      <c r="C641" s="76"/>
      <c r="D641" s="77"/>
      <c r="E641" s="62"/>
      <c r="F641" s="62"/>
      <c r="G641" s="76"/>
      <c r="H641" s="76"/>
      <c r="I641" s="76"/>
      <c r="J641" s="76"/>
      <c r="K641" s="76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spans="1:26" ht="15.75" customHeight="1" x14ac:dyDescent="0.25">
      <c r="A642" s="62"/>
      <c r="B642" s="62"/>
      <c r="C642" s="76"/>
      <c r="D642" s="77"/>
      <c r="E642" s="62"/>
      <c r="F642" s="62"/>
      <c r="G642" s="76"/>
      <c r="H642" s="76"/>
      <c r="I642" s="76"/>
      <c r="J642" s="76"/>
      <c r="K642" s="76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spans="1:26" ht="15.75" customHeight="1" x14ac:dyDescent="0.25">
      <c r="A643" s="62"/>
      <c r="B643" s="62"/>
      <c r="C643" s="76"/>
      <c r="D643" s="77"/>
      <c r="E643" s="62"/>
      <c r="F643" s="62"/>
      <c r="G643" s="76"/>
      <c r="H643" s="76"/>
      <c r="I643" s="76"/>
      <c r="J643" s="76"/>
      <c r="K643" s="76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spans="1:26" ht="15.75" customHeight="1" x14ac:dyDescent="0.25">
      <c r="A644" s="62"/>
      <c r="B644" s="62"/>
      <c r="C644" s="76"/>
      <c r="D644" s="77"/>
      <c r="E644" s="62"/>
      <c r="F644" s="62"/>
      <c r="G644" s="76"/>
      <c r="H644" s="76"/>
      <c r="I644" s="76"/>
      <c r="J644" s="76"/>
      <c r="K644" s="76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spans="1:26" ht="15.75" customHeight="1" x14ac:dyDescent="0.25">
      <c r="A645" s="62"/>
      <c r="B645" s="62"/>
      <c r="C645" s="76"/>
      <c r="D645" s="77"/>
      <c r="E645" s="62"/>
      <c r="F645" s="62"/>
      <c r="G645" s="76"/>
      <c r="H645" s="76"/>
      <c r="I645" s="76"/>
      <c r="J645" s="76"/>
      <c r="K645" s="76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spans="1:26" ht="15.75" customHeight="1" x14ac:dyDescent="0.25">
      <c r="A646" s="62"/>
      <c r="B646" s="62"/>
      <c r="C646" s="76"/>
      <c r="D646" s="77"/>
      <c r="E646" s="62"/>
      <c r="F646" s="62"/>
      <c r="G646" s="76"/>
      <c r="H646" s="76"/>
      <c r="I646" s="76"/>
      <c r="J646" s="76"/>
      <c r="K646" s="76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spans="1:26" ht="15.75" customHeight="1" x14ac:dyDescent="0.25">
      <c r="A647" s="62"/>
      <c r="B647" s="62"/>
      <c r="C647" s="76"/>
      <c r="D647" s="77"/>
      <c r="E647" s="62"/>
      <c r="F647" s="62"/>
      <c r="G647" s="76"/>
      <c r="H647" s="76"/>
      <c r="I647" s="76"/>
      <c r="J647" s="76"/>
      <c r="K647" s="76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spans="1:26" ht="15.75" customHeight="1" x14ac:dyDescent="0.25">
      <c r="A648" s="62"/>
      <c r="B648" s="62"/>
      <c r="C648" s="76"/>
      <c r="D648" s="77"/>
      <c r="E648" s="62"/>
      <c r="F648" s="62"/>
      <c r="G648" s="76"/>
      <c r="H648" s="76"/>
      <c r="I648" s="76"/>
      <c r="J648" s="76"/>
      <c r="K648" s="76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spans="1:26" ht="15.75" customHeight="1" x14ac:dyDescent="0.25">
      <c r="A649" s="62"/>
      <c r="B649" s="62"/>
      <c r="C649" s="76"/>
      <c r="D649" s="77"/>
      <c r="E649" s="62"/>
      <c r="F649" s="62"/>
      <c r="G649" s="76"/>
      <c r="H649" s="76"/>
      <c r="I649" s="76"/>
      <c r="J649" s="76"/>
      <c r="K649" s="76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spans="1:26" ht="15.75" customHeight="1" x14ac:dyDescent="0.25">
      <c r="A650" s="62"/>
      <c r="B650" s="62"/>
      <c r="C650" s="76"/>
      <c r="D650" s="77"/>
      <c r="E650" s="62"/>
      <c r="F650" s="62"/>
      <c r="G650" s="76"/>
      <c r="H650" s="76"/>
      <c r="I650" s="76"/>
      <c r="J650" s="76"/>
      <c r="K650" s="76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spans="1:26" ht="15.75" customHeight="1" x14ac:dyDescent="0.25">
      <c r="A651" s="62"/>
      <c r="B651" s="62"/>
      <c r="C651" s="76"/>
      <c r="D651" s="77"/>
      <c r="E651" s="62"/>
      <c r="F651" s="62"/>
      <c r="G651" s="76"/>
      <c r="H651" s="76"/>
      <c r="I651" s="76"/>
      <c r="J651" s="76"/>
      <c r="K651" s="76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spans="1:26" ht="15.75" customHeight="1" x14ac:dyDescent="0.25">
      <c r="A652" s="62"/>
      <c r="B652" s="62"/>
      <c r="C652" s="76"/>
      <c r="D652" s="77"/>
      <c r="E652" s="62"/>
      <c r="F652" s="62"/>
      <c r="G652" s="76"/>
      <c r="H652" s="76"/>
      <c r="I652" s="76"/>
      <c r="J652" s="76"/>
      <c r="K652" s="76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spans="1:26" ht="15.75" customHeight="1" x14ac:dyDescent="0.25">
      <c r="A653" s="62"/>
      <c r="B653" s="62"/>
      <c r="C653" s="76"/>
      <c r="D653" s="77"/>
      <c r="E653" s="62"/>
      <c r="F653" s="62"/>
      <c r="G653" s="76"/>
      <c r="H653" s="76"/>
      <c r="I653" s="76"/>
      <c r="J653" s="76"/>
      <c r="K653" s="76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spans="1:26" ht="15.75" customHeight="1" x14ac:dyDescent="0.25">
      <c r="A654" s="62"/>
      <c r="B654" s="62"/>
      <c r="C654" s="76"/>
      <c r="D654" s="77"/>
      <c r="E654" s="62"/>
      <c r="F654" s="62"/>
      <c r="G654" s="76"/>
      <c r="H654" s="76"/>
      <c r="I654" s="76"/>
      <c r="J654" s="76"/>
      <c r="K654" s="76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spans="1:26" ht="15.75" customHeight="1" x14ac:dyDescent="0.25">
      <c r="A655" s="62"/>
      <c r="B655" s="62"/>
      <c r="C655" s="76"/>
      <c r="D655" s="77"/>
      <c r="E655" s="62"/>
      <c r="F655" s="62"/>
      <c r="G655" s="76"/>
      <c r="H655" s="76"/>
      <c r="I655" s="76"/>
      <c r="J655" s="76"/>
      <c r="K655" s="76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spans="1:26" ht="15.75" customHeight="1" x14ac:dyDescent="0.25">
      <c r="A656" s="62"/>
      <c r="B656" s="62"/>
      <c r="C656" s="76"/>
      <c r="D656" s="77"/>
      <c r="E656" s="62"/>
      <c r="F656" s="62"/>
      <c r="G656" s="76"/>
      <c r="H656" s="76"/>
      <c r="I656" s="76"/>
      <c r="J656" s="76"/>
      <c r="K656" s="76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spans="1:26" ht="15.75" customHeight="1" x14ac:dyDescent="0.25">
      <c r="A657" s="62"/>
      <c r="B657" s="62"/>
      <c r="C657" s="76"/>
      <c r="D657" s="77"/>
      <c r="E657" s="62"/>
      <c r="F657" s="62"/>
      <c r="G657" s="76"/>
      <c r="H657" s="76"/>
      <c r="I657" s="76"/>
      <c r="J657" s="76"/>
      <c r="K657" s="76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spans="1:26" ht="15.75" customHeight="1" x14ac:dyDescent="0.25">
      <c r="A658" s="62"/>
      <c r="B658" s="62"/>
      <c r="C658" s="76"/>
      <c r="D658" s="77"/>
      <c r="E658" s="62"/>
      <c r="F658" s="62"/>
      <c r="G658" s="76"/>
      <c r="H658" s="76"/>
      <c r="I658" s="76"/>
      <c r="J658" s="76"/>
      <c r="K658" s="76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spans="1:26" ht="15.75" customHeight="1" x14ac:dyDescent="0.25">
      <c r="A659" s="62"/>
      <c r="B659" s="62"/>
      <c r="C659" s="76"/>
      <c r="D659" s="77"/>
      <c r="E659" s="62"/>
      <c r="F659" s="62"/>
      <c r="G659" s="76"/>
      <c r="H659" s="76"/>
      <c r="I659" s="76"/>
      <c r="J659" s="76"/>
      <c r="K659" s="76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spans="1:26" ht="15.75" customHeight="1" x14ac:dyDescent="0.25">
      <c r="A660" s="62"/>
      <c r="B660" s="62"/>
      <c r="C660" s="76"/>
      <c r="D660" s="77"/>
      <c r="E660" s="62"/>
      <c r="F660" s="62"/>
      <c r="G660" s="76"/>
      <c r="H660" s="76"/>
      <c r="I660" s="76"/>
      <c r="J660" s="76"/>
      <c r="K660" s="76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spans="1:26" ht="15.75" customHeight="1" x14ac:dyDescent="0.25">
      <c r="A661" s="62"/>
      <c r="B661" s="62"/>
      <c r="C661" s="76"/>
      <c r="D661" s="77"/>
      <c r="E661" s="62"/>
      <c r="F661" s="62"/>
      <c r="G661" s="76"/>
      <c r="H661" s="76"/>
      <c r="I661" s="76"/>
      <c r="J661" s="76"/>
      <c r="K661" s="76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spans="1:26" ht="15.75" customHeight="1" x14ac:dyDescent="0.25">
      <c r="A662" s="62"/>
      <c r="B662" s="62"/>
      <c r="C662" s="76"/>
      <c r="D662" s="77"/>
      <c r="E662" s="62"/>
      <c r="F662" s="62"/>
      <c r="G662" s="76"/>
      <c r="H662" s="76"/>
      <c r="I662" s="76"/>
      <c r="J662" s="76"/>
      <c r="K662" s="76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spans="1:26" ht="15.75" customHeight="1" x14ac:dyDescent="0.25">
      <c r="A663" s="62"/>
      <c r="B663" s="62"/>
      <c r="C663" s="76"/>
      <c r="D663" s="77"/>
      <c r="E663" s="62"/>
      <c r="F663" s="62"/>
      <c r="G663" s="76"/>
      <c r="H663" s="76"/>
      <c r="I663" s="76"/>
      <c r="J663" s="76"/>
      <c r="K663" s="76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spans="1:26" ht="15.75" customHeight="1" x14ac:dyDescent="0.25">
      <c r="A664" s="62"/>
      <c r="B664" s="62"/>
      <c r="C664" s="76"/>
      <c r="D664" s="77"/>
      <c r="E664" s="62"/>
      <c r="F664" s="62"/>
      <c r="G664" s="76"/>
      <c r="H664" s="76"/>
      <c r="I664" s="76"/>
      <c r="J664" s="76"/>
      <c r="K664" s="76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spans="1:26" ht="15.75" customHeight="1" x14ac:dyDescent="0.25">
      <c r="A665" s="62"/>
      <c r="B665" s="62"/>
      <c r="C665" s="76"/>
      <c r="D665" s="77"/>
      <c r="E665" s="62"/>
      <c r="F665" s="62"/>
      <c r="G665" s="76"/>
      <c r="H665" s="76"/>
      <c r="I665" s="76"/>
      <c r="J665" s="76"/>
      <c r="K665" s="76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spans="1:26" ht="15.75" customHeight="1" x14ac:dyDescent="0.25">
      <c r="A666" s="62"/>
      <c r="B666" s="62"/>
      <c r="C666" s="76"/>
      <c r="D666" s="77"/>
      <c r="E666" s="62"/>
      <c r="F666" s="62"/>
      <c r="G666" s="76"/>
      <c r="H666" s="76"/>
      <c r="I666" s="76"/>
      <c r="J666" s="76"/>
      <c r="K666" s="76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spans="1:26" ht="15.75" customHeight="1" x14ac:dyDescent="0.25">
      <c r="A667" s="62"/>
      <c r="B667" s="62"/>
      <c r="C667" s="76"/>
      <c r="D667" s="77"/>
      <c r="E667" s="62"/>
      <c r="F667" s="62"/>
      <c r="G667" s="76"/>
      <c r="H667" s="76"/>
      <c r="I667" s="76"/>
      <c r="J667" s="76"/>
      <c r="K667" s="76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spans="1:26" ht="15.75" customHeight="1" x14ac:dyDescent="0.25">
      <c r="A668" s="62"/>
      <c r="B668" s="62"/>
      <c r="C668" s="76"/>
      <c r="D668" s="77"/>
      <c r="E668" s="62"/>
      <c r="F668" s="62"/>
      <c r="G668" s="76"/>
      <c r="H668" s="76"/>
      <c r="I668" s="76"/>
      <c r="J668" s="76"/>
      <c r="K668" s="76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spans="1:26" ht="15.75" customHeight="1" x14ac:dyDescent="0.25">
      <c r="A669" s="62"/>
      <c r="B669" s="62"/>
      <c r="C669" s="76"/>
      <c r="D669" s="77"/>
      <c r="E669" s="62"/>
      <c r="F669" s="62"/>
      <c r="G669" s="76"/>
      <c r="H669" s="76"/>
      <c r="I669" s="76"/>
      <c r="J669" s="76"/>
      <c r="K669" s="76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spans="1:26" ht="15.75" customHeight="1" x14ac:dyDescent="0.25">
      <c r="A670" s="62"/>
      <c r="B670" s="62"/>
      <c r="C670" s="76"/>
      <c r="D670" s="77"/>
      <c r="E670" s="62"/>
      <c r="F670" s="62"/>
      <c r="G670" s="76"/>
      <c r="H670" s="76"/>
      <c r="I670" s="76"/>
      <c r="J670" s="76"/>
      <c r="K670" s="76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spans="1:26" ht="15.75" customHeight="1" x14ac:dyDescent="0.25">
      <c r="A671" s="62"/>
      <c r="B671" s="62"/>
      <c r="C671" s="76"/>
      <c r="D671" s="77"/>
      <c r="E671" s="62"/>
      <c r="F671" s="62"/>
      <c r="G671" s="76"/>
      <c r="H671" s="76"/>
      <c r="I671" s="76"/>
      <c r="J671" s="76"/>
      <c r="K671" s="76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spans="1:26" ht="15.75" customHeight="1" x14ac:dyDescent="0.25">
      <c r="A672" s="62"/>
      <c r="B672" s="62"/>
      <c r="C672" s="76"/>
      <c r="D672" s="77"/>
      <c r="E672" s="62"/>
      <c r="F672" s="62"/>
      <c r="G672" s="76"/>
      <c r="H672" s="76"/>
      <c r="I672" s="76"/>
      <c r="J672" s="76"/>
      <c r="K672" s="76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spans="1:26" ht="15.75" customHeight="1" x14ac:dyDescent="0.25">
      <c r="A673" s="62"/>
      <c r="B673" s="62"/>
      <c r="C673" s="76"/>
      <c r="D673" s="77"/>
      <c r="E673" s="62"/>
      <c r="F673" s="62"/>
      <c r="G673" s="76"/>
      <c r="H673" s="76"/>
      <c r="I673" s="76"/>
      <c r="J673" s="76"/>
      <c r="K673" s="76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spans="1:26" ht="15.75" customHeight="1" x14ac:dyDescent="0.25">
      <c r="A674" s="62"/>
      <c r="B674" s="62"/>
      <c r="C674" s="76"/>
      <c r="D674" s="77"/>
      <c r="E674" s="62"/>
      <c r="F674" s="62"/>
      <c r="G674" s="76"/>
      <c r="H674" s="76"/>
      <c r="I674" s="76"/>
      <c r="J674" s="76"/>
      <c r="K674" s="76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spans="1:26" ht="15.75" customHeight="1" x14ac:dyDescent="0.25">
      <c r="A675" s="62"/>
      <c r="B675" s="62"/>
      <c r="C675" s="76"/>
      <c r="D675" s="77"/>
      <c r="E675" s="62"/>
      <c r="F675" s="62"/>
      <c r="G675" s="76"/>
      <c r="H675" s="76"/>
      <c r="I675" s="76"/>
      <c r="J675" s="76"/>
      <c r="K675" s="76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spans="1:26" ht="15.75" customHeight="1" x14ac:dyDescent="0.25">
      <c r="A676" s="62"/>
      <c r="B676" s="62"/>
      <c r="C676" s="76"/>
      <c r="D676" s="77"/>
      <c r="E676" s="62"/>
      <c r="F676" s="62"/>
      <c r="G676" s="76"/>
      <c r="H676" s="76"/>
      <c r="I676" s="76"/>
      <c r="J676" s="76"/>
      <c r="K676" s="76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spans="1:26" ht="15.75" customHeight="1" x14ac:dyDescent="0.25">
      <c r="A677" s="62"/>
      <c r="B677" s="62"/>
      <c r="C677" s="76"/>
      <c r="D677" s="77"/>
      <c r="E677" s="62"/>
      <c r="F677" s="62"/>
      <c r="G677" s="76"/>
      <c r="H677" s="76"/>
      <c r="I677" s="76"/>
      <c r="J677" s="76"/>
      <c r="K677" s="76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spans="1:26" ht="15.75" customHeight="1" x14ac:dyDescent="0.25">
      <c r="A678" s="62"/>
      <c r="B678" s="62"/>
      <c r="C678" s="76"/>
      <c r="D678" s="77"/>
      <c r="E678" s="62"/>
      <c r="F678" s="62"/>
      <c r="G678" s="76"/>
      <c r="H678" s="76"/>
      <c r="I678" s="76"/>
      <c r="J678" s="76"/>
      <c r="K678" s="76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spans="1:26" ht="15.75" customHeight="1" x14ac:dyDescent="0.25">
      <c r="A679" s="62"/>
      <c r="B679" s="62"/>
      <c r="C679" s="76"/>
      <c r="D679" s="77"/>
      <c r="E679" s="62"/>
      <c r="F679" s="62"/>
      <c r="G679" s="76"/>
      <c r="H679" s="76"/>
      <c r="I679" s="76"/>
      <c r="J679" s="76"/>
      <c r="K679" s="76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spans="1:26" ht="15.75" customHeight="1" x14ac:dyDescent="0.25">
      <c r="A680" s="62"/>
      <c r="B680" s="62"/>
      <c r="C680" s="76"/>
      <c r="D680" s="77"/>
      <c r="E680" s="62"/>
      <c r="F680" s="62"/>
      <c r="G680" s="76"/>
      <c r="H680" s="76"/>
      <c r="I680" s="76"/>
      <c r="J680" s="76"/>
      <c r="K680" s="76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spans="1:26" ht="15.75" customHeight="1" x14ac:dyDescent="0.25">
      <c r="A681" s="62"/>
      <c r="B681" s="62"/>
      <c r="C681" s="76"/>
      <c r="D681" s="77"/>
      <c r="E681" s="62"/>
      <c r="F681" s="62"/>
      <c r="G681" s="76"/>
      <c r="H681" s="76"/>
      <c r="I681" s="76"/>
      <c r="J681" s="76"/>
      <c r="K681" s="76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spans="1:26" ht="15.75" customHeight="1" x14ac:dyDescent="0.25">
      <c r="A682" s="62"/>
      <c r="B682" s="62"/>
      <c r="C682" s="76"/>
      <c r="D682" s="77"/>
      <c r="E682" s="62"/>
      <c r="F682" s="62"/>
      <c r="G682" s="76"/>
      <c r="H682" s="76"/>
      <c r="I682" s="76"/>
      <c r="J682" s="76"/>
      <c r="K682" s="76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spans="1:26" ht="15.75" customHeight="1" x14ac:dyDescent="0.25">
      <c r="A683" s="62"/>
      <c r="B683" s="62"/>
      <c r="C683" s="76"/>
      <c r="D683" s="77"/>
      <c r="E683" s="62"/>
      <c r="F683" s="62"/>
      <c r="G683" s="76"/>
      <c r="H683" s="76"/>
      <c r="I683" s="76"/>
      <c r="J683" s="76"/>
      <c r="K683" s="76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spans="1:26" ht="15.75" customHeight="1" x14ac:dyDescent="0.25">
      <c r="A684" s="62"/>
      <c r="B684" s="62"/>
      <c r="C684" s="76"/>
      <c r="D684" s="77"/>
      <c r="E684" s="62"/>
      <c r="F684" s="62"/>
      <c r="G684" s="76"/>
      <c r="H684" s="76"/>
      <c r="I684" s="76"/>
      <c r="J684" s="76"/>
      <c r="K684" s="76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spans="1:26" ht="15.75" customHeight="1" x14ac:dyDescent="0.25">
      <c r="A685" s="62"/>
      <c r="B685" s="62"/>
      <c r="C685" s="76"/>
      <c r="D685" s="77"/>
      <c r="E685" s="62"/>
      <c r="F685" s="62"/>
      <c r="G685" s="76"/>
      <c r="H685" s="76"/>
      <c r="I685" s="76"/>
      <c r="J685" s="76"/>
      <c r="K685" s="76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spans="1:26" ht="15.75" customHeight="1" x14ac:dyDescent="0.25">
      <c r="A686" s="62"/>
      <c r="B686" s="62"/>
      <c r="C686" s="76"/>
      <c r="D686" s="77"/>
      <c r="E686" s="62"/>
      <c r="F686" s="62"/>
      <c r="G686" s="76"/>
      <c r="H686" s="76"/>
      <c r="I686" s="76"/>
      <c r="J686" s="76"/>
      <c r="K686" s="76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spans="1:26" ht="15.75" customHeight="1" x14ac:dyDescent="0.25">
      <c r="A687" s="62"/>
      <c r="B687" s="62"/>
      <c r="C687" s="76"/>
      <c r="D687" s="77"/>
      <c r="E687" s="62"/>
      <c r="F687" s="62"/>
      <c r="G687" s="76"/>
      <c r="H687" s="76"/>
      <c r="I687" s="76"/>
      <c r="J687" s="76"/>
      <c r="K687" s="76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spans="1:26" ht="15.75" customHeight="1" x14ac:dyDescent="0.25">
      <c r="A688" s="62"/>
      <c r="B688" s="62"/>
      <c r="C688" s="76"/>
      <c r="D688" s="77"/>
      <c r="E688" s="62"/>
      <c r="F688" s="62"/>
      <c r="G688" s="76"/>
      <c r="H688" s="76"/>
      <c r="I688" s="76"/>
      <c r="J688" s="76"/>
      <c r="K688" s="76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spans="1:26" ht="15.75" customHeight="1" x14ac:dyDescent="0.25">
      <c r="A689" s="62"/>
      <c r="B689" s="62"/>
      <c r="C689" s="76"/>
      <c r="D689" s="77"/>
      <c r="E689" s="62"/>
      <c r="F689" s="62"/>
      <c r="G689" s="76"/>
      <c r="H689" s="76"/>
      <c r="I689" s="76"/>
      <c r="J689" s="76"/>
      <c r="K689" s="76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spans="1:26" ht="15.75" customHeight="1" x14ac:dyDescent="0.25">
      <c r="A690" s="62"/>
      <c r="B690" s="62"/>
      <c r="C690" s="76"/>
      <c r="D690" s="77"/>
      <c r="E690" s="62"/>
      <c r="F690" s="62"/>
      <c r="G690" s="76"/>
      <c r="H690" s="76"/>
      <c r="I690" s="76"/>
      <c r="J690" s="76"/>
      <c r="K690" s="76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spans="1:26" ht="15.75" customHeight="1" x14ac:dyDescent="0.25">
      <c r="A691" s="62"/>
      <c r="B691" s="62"/>
      <c r="C691" s="76"/>
      <c r="D691" s="77"/>
      <c r="E691" s="62"/>
      <c r="F691" s="62"/>
      <c r="G691" s="76"/>
      <c r="H691" s="76"/>
      <c r="I691" s="76"/>
      <c r="J691" s="76"/>
      <c r="K691" s="76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spans="1:26" ht="15.75" customHeight="1" x14ac:dyDescent="0.25">
      <c r="A692" s="62"/>
      <c r="B692" s="62"/>
      <c r="C692" s="76"/>
      <c r="D692" s="77"/>
      <c r="E692" s="62"/>
      <c r="F692" s="62"/>
      <c r="G692" s="76"/>
      <c r="H692" s="76"/>
      <c r="I692" s="76"/>
      <c r="J692" s="76"/>
      <c r="K692" s="76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spans="1:26" ht="15.75" customHeight="1" x14ac:dyDescent="0.25">
      <c r="A693" s="62"/>
      <c r="B693" s="62"/>
      <c r="C693" s="76"/>
      <c r="D693" s="77"/>
      <c r="E693" s="62"/>
      <c r="F693" s="62"/>
      <c r="G693" s="76"/>
      <c r="H693" s="76"/>
      <c r="I693" s="76"/>
      <c r="J693" s="76"/>
      <c r="K693" s="76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spans="1:26" ht="15.75" customHeight="1" x14ac:dyDescent="0.25">
      <c r="A694" s="62"/>
      <c r="B694" s="62"/>
      <c r="C694" s="76"/>
      <c r="D694" s="77"/>
      <c r="E694" s="62"/>
      <c r="F694" s="62"/>
      <c r="G694" s="76"/>
      <c r="H694" s="76"/>
      <c r="I694" s="76"/>
      <c r="J694" s="76"/>
      <c r="K694" s="76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spans="1:26" ht="15.75" customHeight="1" x14ac:dyDescent="0.25">
      <c r="A695" s="62"/>
      <c r="B695" s="62"/>
      <c r="C695" s="76"/>
      <c r="D695" s="77"/>
      <c r="E695" s="62"/>
      <c r="F695" s="62"/>
      <c r="G695" s="76"/>
      <c r="H695" s="76"/>
      <c r="I695" s="76"/>
      <c r="J695" s="76"/>
      <c r="K695" s="76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spans="1:26" ht="15.75" customHeight="1" x14ac:dyDescent="0.25">
      <c r="A696" s="62"/>
      <c r="B696" s="62"/>
      <c r="C696" s="76"/>
      <c r="D696" s="77"/>
      <c r="E696" s="62"/>
      <c r="F696" s="62"/>
      <c r="G696" s="76"/>
      <c r="H696" s="76"/>
      <c r="I696" s="76"/>
      <c r="J696" s="76"/>
      <c r="K696" s="76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spans="1:26" ht="15.75" customHeight="1" x14ac:dyDescent="0.25">
      <c r="A697" s="62"/>
      <c r="B697" s="62"/>
      <c r="C697" s="76"/>
      <c r="D697" s="77"/>
      <c r="E697" s="62"/>
      <c r="F697" s="62"/>
      <c r="G697" s="76"/>
      <c r="H697" s="76"/>
      <c r="I697" s="76"/>
      <c r="J697" s="76"/>
      <c r="K697" s="76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spans="1:26" ht="15.75" customHeight="1" x14ac:dyDescent="0.25">
      <c r="A698" s="62"/>
      <c r="B698" s="62"/>
      <c r="C698" s="76"/>
      <c r="D698" s="77"/>
      <c r="E698" s="62"/>
      <c r="F698" s="62"/>
      <c r="G698" s="76"/>
      <c r="H698" s="76"/>
      <c r="I698" s="76"/>
      <c r="J698" s="76"/>
      <c r="K698" s="76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spans="1:26" ht="15.75" customHeight="1" x14ac:dyDescent="0.25">
      <c r="A699" s="62"/>
      <c r="B699" s="62"/>
      <c r="C699" s="76"/>
      <c r="D699" s="77"/>
      <c r="E699" s="62"/>
      <c r="F699" s="62"/>
      <c r="G699" s="76"/>
      <c r="H699" s="76"/>
      <c r="I699" s="76"/>
      <c r="J699" s="76"/>
      <c r="K699" s="76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spans="1:26" ht="15.75" customHeight="1" x14ac:dyDescent="0.25">
      <c r="A700" s="62"/>
      <c r="B700" s="62"/>
      <c r="C700" s="76"/>
      <c r="D700" s="77"/>
      <c r="E700" s="62"/>
      <c r="F700" s="62"/>
      <c r="G700" s="76"/>
      <c r="H700" s="76"/>
      <c r="I700" s="76"/>
      <c r="J700" s="76"/>
      <c r="K700" s="76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spans="1:26" ht="15.75" customHeight="1" x14ac:dyDescent="0.25">
      <c r="A701" s="62"/>
      <c r="B701" s="62"/>
      <c r="C701" s="76"/>
      <c r="D701" s="77"/>
      <c r="E701" s="62"/>
      <c r="F701" s="62"/>
      <c r="G701" s="76"/>
      <c r="H701" s="76"/>
      <c r="I701" s="76"/>
      <c r="J701" s="76"/>
      <c r="K701" s="76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spans="1:26" ht="15.75" customHeight="1" x14ac:dyDescent="0.25">
      <c r="A702" s="62"/>
      <c r="B702" s="62"/>
      <c r="C702" s="76"/>
      <c r="D702" s="77"/>
      <c r="E702" s="62"/>
      <c r="F702" s="62"/>
      <c r="G702" s="76"/>
      <c r="H702" s="76"/>
      <c r="I702" s="76"/>
      <c r="J702" s="76"/>
      <c r="K702" s="76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spans="1:26" ht="15.75" customHeight="1" x14ac:dyDescent="0.25">
      <c r="A703" s="62"/>
      <c r="B703" s="62"/>
      <c r="C703" s="76"/>
      <c r="D703" s="77"/>
      <c r="E703" s="62"/>
      <c r="F703" s="62"/>
      <c r="G703" s="76"/>
      <c r="H703" s="76"/>
      <c r="I703" s="76"/>
      <c r="J703" s="76"/>
      <c r="K703" s="76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spans="1:26" ht="15.75" customHeight="1" x14ac:dyDescent="0.25">
      <c r="A704" s="62"/>
      <c r="B704" s="62"/>
      <c r="C704" s="76"/>
      <c r="D704" s="77"/>
      <c r="E704" s="62"/>
      <c r="F704" s="62"/>
      <c r="G704" s="76"/>
      <c r="H704" s="76"/>
      <c r="I704" s="76"/>
      <c r="J704" s="76"/>
      <c r="K704" s="76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spans="1:26" ht="15.75" customHeight="1" x14ac:dyDescent="0.25">
      <c r="A705" s="62"/>
      <c r="B705" s="62"/>
      <c r="C705" s="76"/>
      <c r="D705" s="77"/>
      <c r="E705" s="62"/>
      <c r="F705" s="62"/>
      <c r="G705" s="76"/>
      <c r="H705" s="76"/>
      <c r="I705" s="76"/>
      <c r="J705" s="76"/>
      <c r="K705" s="76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spans="1:26" ht="15.75" customHeight="1" x14ac:dyDescent="0.25">
      <c r="A706" s="62"/>
      <c r="B706" s="62"/>
      <c r="C706" s="76"/>
      <c r="D706" s="77"/>
      <c r="E706" s="62"/>
      <c r="F706" s="62"/>
      <c r="G706" s="76"/>
      <c r="H706" s="76"/>
      <c r="I706" s="76"/>
      <c r="J706" s="76"/>
      <c r="K706" s="76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spans="1:26" ht="15.75" customHeight="1" x14ac:dyDescent="0.25">
      <c r="A707" s="62"/>
      <c r="B707" s="62"/>
      <c r="C707" s="76"/>
      <c r="D707" s="77"/>
      <c r="E707" s="62"/>
      <c r="F707" s="62"/>
      <c r="G707" s="76"/>
      <c r="H707" s="76"/>
      <c r="I707" s="76"/>
      <c r="J707" s="76"/>
      <c r="K707" s="76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spans="1:26" ht="15.75" customHeight="1" x14ac:dyDescent="0.25">
      <c r="A708" s="62"/>
      <c r="B708" s="62"/>
      <c r="C708" s="76"/>
      <c r="D708" s="77"/>
      <c r="E708" s="62"/>
      <c r="F708" s="62"/>
      <c r="G708" s="76"/>
      <c r="H708" s="76"/>
      <c r="I708" s="76"/>
      <c r="J708" s="76"/>
      <c r="K708" s="76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spans="1:26" ht="15.75" customHeight="1" x14ac:dyDescent="0.25">
      <c r="A709" s="62"/>
      <c r="B709" s="62"/>
      <c r="C709" s="76"/>
      <c r="D709" s="77"/>
      <c r="E709" s="62"/>
      <c r="F709" s="62"/>
      <c r="G709" s="76"/>
      <c r="H709" s="76"/>
      <c r="I709" s="76"/>
      <c r="J709" s="76"/>
      <c r="K709" s="76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spans="1:26" ht="15.75" customHeight="1" x14ac:dyDescent="0.25">
      <c r="A710" s="62"/>
      <c r="B710" s="62"/>
      <c r="C710" s="76"/>
      <c r="D710" s="77"/>
      <c r="E710" s="62"/>
      <c r="F710" s="62"/>
      <c r="G710" s="76"/>
      <c r="H710" s="76"/>
      <c r="I710" s="76"/>
      <c r="J710" s="76"/>
      <c r="K710" s="76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spans="1:26" ht="15.75" customHeight="1" x14ac:dyDescent="0.25">
      <c r="A711" s="62"/>
      <c r="B711" s="62"/>
      <c r="C711" s="76"/>
      <c r="D711" s="77"/>
      <c r="E711" s="62"/>
      <c r="F711" s="62"/>
      <c r="G711" s="76"/>
      <c r="H711" s="76"/>
      <c r="I711" s="76"/>
      <c r="J711" s="76"/>
      <c r="K711" s="76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spans="1:26" ht="15.75" customHeight="1" x14ac:dyDescent="0.25">
      <c r="A712" s="62"/>
      <c r="B712" s="62"/>
      <c r="C712" s="76"/>
      <c r="D712" s="77"/>
      <c r="E712" s="62"/>
      <c r="F712" s="62"/>
      <c r="G712" s="76"/>
      <c r="H712" s="76"/>
      <c r="I712" s="76"/>
      <c r="J712" s="76"/>
      <c r="K712" s="76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spans="1:26" ht="15.75" customHeight="1" x14ac:dyDescent="0.25">
      <c r="A713" s="62"/>
      <c r="B713" s="62"/>
      <c r="C713" s="76"/>
      <c r="D713" s="77"/>
      <c r="E713" s="62"/>
      <c r="F713" s="62"/>
      <c r="G713" s="76"/>
      <c r="H713" s="76"/>
      <c r="I713" s="76"/>
      <c r="J713" s="76"/>
      <c r="K713" s="76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spans="1:26" ht="15.75" customHeight="1" x14ac:dyDescent="0.25">
      <c r="A714" s="62"/>
      <c r="B714" s="62"/>
      <c r="C714" s="76"/>
      <c r="D714" s="77"/>
      <c r="E714" s="62"/>
      <c r="F714" s="62"/>
      <c r="G714" s="76"/>
      <c r="H714" s="76"/>
      <c r="I714" s="76"/>
      <c r="J714" s="76"/>
      <c r="K714" s="76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spans="1:26" ht="15.75" customHeight="1" x14ac:dyDescent="0.25">
      <c r="A715" s="62"/>
      <c r="B715" s="62"/>
      <c r="C715" s="76"/>
      <c r="D715" s="77"/>
      <c r="E715" s="62"/>
      <c r="F715" s="62"/>
      <c r="G715" s="76"/>
      <c r="H715" s="76"/>
      <c r="I715" s="76"/>
      <c r="J715" s="76"/>
      <c r="K715" s="76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spans="1:26" ht="15.75" customHeight="1" x14ac:dyDescent="0.25">
      <c r="A716" s="62"/>
      <c r="B716" s="62"/>
      <c r="C716" s="76"/>
      <c r="D716" s="77"/>
      <c r="E716" s="62"/>
      <c r="F716" s="62"/>
      <c r="G716" s="76"/>
      <c r="H716" s="76"/>
      <c r="I716" s="76"/>
      <c r="J716" s="76"/>
      <c r="K716" s="76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spans="1:26" ht="15.75" customHeight="1" x14ac:dyDescent="0.25">
      <c r="A717" s="62"/>
      <c r="B717" s="62"/>
      <c r="C717" s="76"/>
      <c r="D717" s="77"/>
      <c r="E717" s="62"/>
      <c r="F717" s="62"/>
      <c r="G717" s="76"/>
      <c r="H717" s="76"/>
      <c r="I717" s="76"/>
      <c r="J717" s="76"/>
      <c r="K717" s="76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spans="1:26" ht="15.75" customHeight="1" x14ac:dyDescent="0.25">
      <c r="A718" s="62"/>
      <c r="B718" s="62"/>
      <c r="C718" s="76"/>
      <c r="D718" s="77"/>
      <c r="E718" s="62"/>
      <c r="F718" s="62"/>
      <c r="G718" s="76"/>
      <c r="H718" s="76"/>
      <c r="I718" s="76"/>
      <c r="J718" s="76"/>
      <c r="K718" s="76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spans="1:26" ht="15.75" customHeight="1" x14ac:dyDescent="0.25">
      <c r="A719" s="62"/>
      <c r="B719" s="62"/>
      <c r="C719" s="76"/>
      <c r="D719" s="77"/>
      <c r="E719" s="62"/>
      <c r="F719" s="62"/>
      <c r="G719" s="76"/>
      <c r="H719" s="76"/>
      <c r="I719" s="76"/>
      <c r="J719" s="76"/>
      <c r="K719" s="76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spans="1:26" ht="15.75" customHeight="1" x14ac:dyDescent="0.25">
      <c r="A720" s="62"/>
      <c r="B720" s="62"/>
      <c r="C720" s="76"/>
      <c r="D720" s="77"/>
      <c r="E720" s="62"/>
      <c r="F720" s="62"/>
      <c r="G720" s="76"/>
      <c r="H720" s="76"/>
      <c r="I720" s="76"/>
      <c r="J720" s="76"/>
      <c r="K720" s="76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spans="1:26" ht="15.75" customHeight="1" x14ac:dyDescent="0.25">
      <c r="A721" s="62"/>
      <c r="B721" s="62"/>
      <c r="C721" s="76"/>
      <c r="D721" s="77"/>
      <c r="E721" s="62"/>
      <c r="F721" s="62"/>
      <c r="G721" s="76"/>
      <c r="H721" s="76"/>
      <c r="I721" s="76"/>
      <c r="J721" s="76"/>
      <c r="K721" s="76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spans="1:26" ht="15.75" customHeight="1" x14ac:dyDescent="0.25">
      <c r="A722" s="62"/>
      <c r="B722" s="62"/>
      <c r="C722" s="76"/>
      <c r="D722" s="77"/>
      <c r="E722" s="62"/>
      <c r="F722" s="62"/>
      <c r="G722" s="76"/>
      <c r="H722" s="76"/>
      <c r="I722" s="76"/>
      <c r="J722" s="76"/>
      <c r="K722" s="76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spans="1:26" ht="15.75" customHeight="1" x14ac:dyDescent="0.25">
      <c r="A723" s="62"/>
      <c r="B723" s="62"/>
      <c r="C723" s="76"/>
      <c r="D723" s="77"/>
      <c r="E723" s="62"/>
      <c r="F723" s="62"/>
      <c r="G723" s="76"/>
      <c r="H723" s="76"/>
      <c r="I723" s="76"/>
      <c r="J723" s="76"/>
      <c r="K723" s="76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spans="1:26" ht="15.75" customHeight="1" x14ac:dyDescent="0.25">
      <c r="A724" s="62"/>
      <c r="B724" s="62"/>
      <c r="C724" s="76"/>
      <c r="D724" s="77"/>
      <c r="E724" s="62"/>
      <c r="F724" s="62"/>
      <c r="G724" s="76"/>
      <c r="H724" s="76"/>
      <c r="I724" s="76"/>
      <c r="J724" s="76"/>
      <c r="K724" s="76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spans="1:26" ht="15.75" customHeight="1" x14ac:dyDescent="0.25">
      <c r="A725" s="62"/>
      <c r="B725" s="62"/>
      <c r="C725" s="76"/>
      <c r="D725" s="77"/>
      <c r="E725" s="62"/>
      <c r="F725" s="62"/>
      <c r="G725" s="76"/>
      <c r="H725" s="76"/>
      <c r="I725" s="76"/>
      <c r="J725" s="76"/>
      <c r="K725" s="76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spans="1:26" ht="15.75" customHeight="1" x14ac:dyDescent="0.25">
      <c r="A726" s="62"/>
      <c r="B726" s="62"/>
      <c r="C726" s="76"/>
      <c r="D726" s="77"/>
      <c r="E726" s="62"/>
      <c r="F726" s="62"/>
      <c r="G726" s="76"/>
      <c r="H726" s="76"/>
      <c r="I726" s="76"/>
      <c r="J726" s="76"/>
      <c r="K726" s="76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spans="1:26" ht="15.75" customHeight="1" x14ac:dyDescent="0.25">
      <c r="A727" s="62"/>
      <c r="B727" s="62"/>
      <c r="C727" s="76"/>
      <c r="D727" s="77"/>
      <c r="E727" s="62"/>
      <c r="F727" s="62"/>
      <c r="G727" s="76"/>
      <c r="H727" s="76"/>
      <c r="I727" s="76"/>
      <c r="J727" s="76"/>
      <c r="K727" s="76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spans="1:26" ht="15.75" customHeight="1" x14ac:dyDescent="0.25">
      <c r="A728" s="62"/>
      <c r="B728" s="62"/>
      <c r="C728" s="76"/>
      <c r="D728" s="77"/>
      <c r="E728" s="62"/>
      <c r="F728" s="62"/>
      <c r="G728" s="76"/>
      <c r="H728" s="76"/>
      <c r="I728" s="76"/>
      <c r="J728" s="76"/>
      <c r="K728" s="76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spans="1:26" ht="15.75" customHeight="1" x14ac:dyDescent="0.25">
      <c r="A729" s="62"/>
      <c r="B729" s="62"/>
      <c r="C729" s="76"/>
      <c r="D729" s="77"/>
      <c r="E729" s="62"/>
      <c r="F729" s="62"/>
      <c r="G729" s="76"/>
      <c r="H729" s="76"/>
      <c r="I729" s="76"/>
      <c r="J729" s="76"/>
      <c r="K729" s="76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spans="1:26" ht="15.75" customHeight="1" x14ac:dyDescent="0.25">
      <c r="A730" s="62"/>
      <c r="B730" s="62"/>
      <c r="C730" s="76"/>
      <c r="D730" s="77"/>
      <c r="E730" s="62"/>
      <c r="F730" s="62"/>
      <c r="G730" s="76"/>
      <c r="H730" s="76"/>
      <c r="I730" s="76"/>
      <c r="J730" s="76"/>
      <c r="K730" s="76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spans="1:26" ht="15.75" customHeight="1" x14ac:dyDescent="0.25">
      <c r="A731" s="62"/>
      <c r="B731" s="62"/>
      <c r="C731" s="76"/>
      <c r="D731" s="77"/>
      <c r="E731" s="62"/>
      <c r="F731" s="62"/>
      <c r="G731" s="76"/>
      <c r="H731" s="76"/>
      <c r="I731" s="76"/>
      <c r="J731" s="76"/>
      <c r="K731" s="76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spans="1:26" ht="15.75" customHeight="1" x14ac:dyDescent="0.25">
      <c r="A732" s="62"/>
      <c r="B732" s="62"/>
      <c r="C732" s="76"/>
      <c r="D732" s="77"/>
      <c r="E732" s="62"/>
      <c r="F732" s="62"/>
      <c r="G732" s="76"/>
      <c r="H732" s="76"/>
      <c r="I732" s="76"/>
      <c r="J732" s="76"/>
      <c r="K732" s="76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spans="1:26" ht="15.75" customHeight="1" x14ac:dyDescent="0.25">
      <c r="A733" s="62"/>
      <c r="B733" s="62"/>
      <c r="C733" s="76"/>
      <c r="D733" s="77"/>
      <c r="E733" s="62"/>
      <c r="F733" s="62"/>
      <c r="G733" s="76"/>
      <c r="H733" s="76"/>
      <c r="I733" s="76"/>
      <c r="J733" s="76"/>
      <c r="K733" s="76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spans="1:26" ht="15.75" customHeight="1" x14ac:dyDescent="0.25">
      <c r="A734" s="62"/>
      <c r="B734" s="62"/>
      <c r="C734" s="76"/>
      <c r="D734" s="77"/>
      <c r="E734" s="62"/>
      <c r="F734" s="62"/>
      <c r="G734" s="76"/>
      <c r="H734" s="76"/>
      <c r="I734" s="76"/>
      <c r="J734" s="76"/>
      <c r="K734" s="76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spans="1:26" ht="15.75" customHeight="1" x14ac:dyDescent="0.25">
      <c r="A735" s="62"/>
      <c r="B735" s="62"/>
      <c r="C735" s="76"/>
      <c r="D735" s="77"/>
      <c r="E735" s="62"/>
      <c r="F735" s="62"/>
      <c r="G735" s="76"/>
      <c r="H735" s="76"/>
      <c r="I735" s="76"/>
      <c r="J735" s="76"/>
      <c r="K735" s="76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spans="1:26" ht="15.75" customHeight="1" x14ac:dyDescent="0.25">
      <c r="A736" s="62"/>
      <c r="B736" s="62"/>
      <c r="C736" s="76"/>
      <c r="D736" s="77"/>
      <c r="E736" s="62"/>
      <c r="F736" s="62"/>
      <c r="G736" s="76"/>
      <c r="H736" s="76"/>
      <c r="I736" s="76"/>
      <c r="J736" s="76"/>
      <c r="K736" s="76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spans="1:26" ht="15.75" customHeight="1" x14ac:dyDescent="0.25">
      <c r="A737" s="62"/>
      <c r="B737" s="62"/>
      <c r="C737" s="76"/>
      <c r="D737" s="77"/>
      <c r="E737" s="62"/>
      <c r="F737" s="62"/>
      <c r="G737" s="76"/>
      <c r="H737" s="76"/>
      <c r="I737" s="76"/>
      <c r="J737" s="76"/>
      <c r="K737" s="76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spans="1:26" ht="15.75" customHeight="1" x14ac:dyDescent="0.25">
      <c r="A738" s="62"/>
      <c r="B738" s="62"/>
      <c r="C738" s="76"/>
      <c r="D738" s="77"/>
      <c r="E738" s="62"/>
      <c r="F738" s="62"/>
      <c r="G738" s="76"/>
      <c r="H738" s="76"/>
      <c r="I738" s="76"/>
      <c r="J738" s="76"/>
      <c r="K738" s="76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spans="1:26" ht="15.75" customHeight="1" x14ac:dyDescent="0.25">
      <c r="A739" s="62"/>
      <c r="B739" s="62"/>
      <c r="C739" s="76"/>
      <c r="D739" s="77"/>
      <c r="E739" s="62"/>
      <c r="F739" s="62"/>
      <c r="G739" s="76"/>
      <c r="H739" s="76"/>
      <c r="I739" s="76"/>
      <c r="J739" s="76"/>
      <c r="K739" s="76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spans="1:26" ht="15.75" customHeight="1" x14ac:dyDescent="0.25">
      <c r="A740" s="62"/>
      <c r="B740" s="62"/>
      <c r="C740" s="76"/>
      <c r="D740" s="77"/>
      <c r="E740" s="62"/>
      <c r="F740" s="62"/>
      <c r="G740" s="76"/>
      <c r="H740" s="76"/>
      <c r="I740" s="76"/>
      <c r="J740" s="76"/>
      <c r="K740" s="76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spans="1:26" ht="15.75" customHeight="1" x14ac:dyDescent="0.25">
      <c r="A741" s="62"/>
      <c r="B741" s="62"/>
      <c r="C741" s="76"/>
      <c r="D741" s="77"/>
      <c r="E741" s="62"/>
      <c r="F741" s="62"/>
      <c r="G741" s="76"/>
      <c r="H741" s="76"/>
      <c r="I741" s="76"/>
      <c r="J741" s="76"/>
      <c r="K741" s="76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spans="1:26" ht="15.75" customHeight="1" x14ac:dyDescent="0.25">
      <c r="A742" s="62"/>
      <c r="B742" s="62"/>
      <c r="C742" s="76"/>
      <c r="D742" s="77"/>
      <c r="E742" s="62"/>
      <c r="F742" s="62"/>
      <c r="G742" s="76"/>
      <c r="H742" s="76"/>
      <c r="I742" s="76"/>
      <c r="J742" s="76"/>
      <c r="K742" s="76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spans="1:26" ht="15.75" customHeight="1" x14ac:dyDescent="0.25">
      <c r="A743" s="62"/>
      <c r="B743" s="62"/>
      <c r="C743" s="76"/>
      <c r="D743" s="77"/>
      <c r="E743" s="62"/>
      <c r="F743" s="62"/>
      <c r="G743" s="76"/>
      <c r="H743" s="76"/>
      <c r="I743" s="76"/>
      <c r="J743" s="76"/>
      <c r="K743" s="76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spans="1:26" ht="15.75" customHeight="1" x14ac:dyDescent="0.25">
      <c r="A744" s="62"/>
      <c r="B744" s="62"/>
      <c r="C744" s="76"/>
      <c r="D744" s="77"/>
      <c r="E744" s="62"/>
      <c r="F744" s="62"/>
      <c r="G744" s="76"/>
      <c r="H744" s="76"/>
      <c r="I744" s="76"/>
      <c r="J744" s="76"/>
      <c r="K744" s="76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spans="1:26" ht="15.75" customHeight="1" x14ac:dyDescent="0.25">
      <c r="A745" s="62"/>
      <c r="B745" s="62"/>
      <c r="C745" s="76"/>
      <c r="D745" s="77"/>
      <c r="E745" s="62"/>
      <c r="F745" s="62"/>
      <c r="G745" s="76"/>
      <c r="H745" s="76"/>
      <c r="I745" s="76"/>
      <c r="J745" s="76"/>
      <c r="K745" s="76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spans="1:26" ht="15.75" customHeight="1" x14ac:dyDescent="0.25">
      <c r="A746" s="62"/>
      <c r="B746" s="62"/>
      <c r="C746" s="76"/>
      <c r="D746" s="77"/>
      <c r="E746" s="62"/>
      <c r="F746" s="62"/>
      <c r="G746" s="76"/>
      <c r="H746" s="76"/>
      <c r="I746" s="76"/>
      <c r="J746" s="76"/>
      <c r="K746" s="76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spans="1:26" ht="15.75" customHeight="1" x14ac:dyDescent="0.25">
      <c r="A747" s="62"/>
      <c r="B747" s="62"/>
      <c r="C747" s="76"/>
      <c r="D747" s="77"/>
      <c r="E747" s="62"/>
      <c r="F747" s="62"/>
      <c r="G747" s="76"/>
      <c r="H747" s="76"/>
      <c r="I747" s="76"/>
      <c r="J747" s="76"/>
      <c r="K747" s="76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spans="1:26" ht="15.75" customHeight="1" x14ac:dyDescent="0.25">
      <c r="A748" s="62"/>
      <c r="B748" s="62"/>
      <c r="C748" s="76"/>
      <c r="D748" s="77"/>
      <c r="E748" s="62"/>
      <c r="F748" s="62"/>
      <c r="G748" s="76"/>
      <c r="H748" s="76"/>
      <c r="I748" s="76"/>
      <c r="J748" s="76"/>
      <c r="K748" s="76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spans="1:26" ht="15.75" customHeight="1" x14ac:dyDescent="0.25">
      <c r="A749" s="62"/>
      <c r="B749" s="62"/>
      <c r="C749" s="76"/>
      <c r="D749" s="77"/>
      <c r="E749" s="62"/>
      <c r="F749" s="62"/>
      <c r="G749" s="76"/>
      <c r="H749" s="76"/>
      <c r="I749" s="76"/>
      <c r="J749" s="76"/>
      <c r="K749" s="76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spans="1:26" ht="15.75" customHeight="1" x14ac:dyDescent="0.25">
      <c r="A750" s="62"/>
      <c r="B750" s="62"/>
      <c r="C750" s="76"/>
      <c r="D750" s="77"/>
      <c r="E750" s="62"/>
      <c r="F750" s="62"/>
      <c r="G750" s="76"/>
      <c r="H750" s="76"/>
      <c r="I750" s="76"/>
      <c r="J750" s="76"/>
      <c r="K750" s="76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spans="1:26" ht="15.75" customHeight="1" x14ac:dyDescent="0.25">
      <c r="A751" s="62"/>
      <c r="B751" s="62"/>
      <c r="C751" s="76"/>
      <c r="D751" s="77"/>
      <c r="E751" s="62"/>
      <c r="F751" s="62"/>
      <c r="G751" s="76"/>
      <c r="H751" s="76"/>
      <c r="I751" s="76"/>
      <c r="J751" s="76"/>
      <c r="K751" s="76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spans="1:26" ht="15.75" customHeight="1" x14ac:dyDescent="0.25">
      <c r="A752" s="62"/>
      <c r="B752" s="62"/>
      <c r="C752" s="76"/>
      <c r="D752" s="77"/>
      <c r="E752" s="62"/>
      <c r="F752" s="62"/>
      <c r="G752" s="76"/>
      <c r="H752" s="76"/>
      <c r="I752" s="76"/>
      <c r="J752" s="76"/>
      <c r="K752" s="76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spans="1:26" ht="15.75" customHeight="1" x14ac:dyDescent="0.25">
      <c r="A753" s="62"/>
      <c r="B753" s="62"/>
      <c r="C753" s="76"/>
      <c r="D753" s="77"/>
      <c r="E753" s="62"/>
      <c r="F753" s="62"/>
      <c r="G753" s="76"/>
      <c r="H753" s="76"/>
      <c r="I753" s="76"/>
      <c r="J753" s="76"/>
      <c r="K753" s="76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spans="1:26" ht="15.75" customHeight="1" x14ac:dyDescent="0.25">
      <c r="A754" s="62"/>
      <c r="B754" s="62"/>
      <c r="C754" s="76"/>
      <c r="D754" s="77"/>
      <c r="E754" s="62"/>
      <c r="F754" s="62"/>
      <c r="G754" s="76"/>
      <c r="H754" s="76"/>
      <c r="I754" s="76"/>
      <c r="J754" s="76"/>
      <c r="K754" s="76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spans="1:26" ht="15.75" customHeight="1" x14ac:dyDescent="0.25">
      <c r="A755" s="62"/>
      <c r="B755" s="62"/>
      <c r="C755" s="76"/>
      <c r="D755" s="77"/>
      <c r="E755" s="62"/>
      <c r="F755" s="62"/>
      <c r="G755" s="76"/>
      <c r="H755" s="76"/>
      <c r="I755" s="76"/>
      <c r="J755" s="76"/>
      <c r="K755" s="76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spans="1:26" ht="15.75" customHeight="1" x14ac:dyDescent="0.25">
      <c r="A756" s="62"/>
      <c r="B756" s="62"/>
      <c r="C756" s="76"/>
      <c r="D756" s="77"/>
      <c r="E756" s="62"/>
      <c r="F756" s="62"/>
      <c r="G756" s="76"/>
      <c r="H756" s="76"/>
      <c r="I756" s="76"/>
      <c r="J756" s="76"/>
      <c r="K756" s="76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spans="1:26" ht="15.75" customHeight="1" x14ac:dyDescent="0.25">
      <c r="A757" s="62"/>
      <c r="B757" s="62"/>
      <c r="C757" s="76"/>
      <c r="D757" s="77"/>
      <c r="E757" s="62"/>
      <c r="F757" s="62"/>
      <c r="G757" s="76"/>
      <c r="H757" s="76"/>
      <c r="I757" s="76"/>
      <c r="J757" s="76"/>
      <c r="K757" s="76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spans="1:26" ht="15.75" customHeight="1" x14ac:dyDescent="0.25">
      <c r="A758" s="62"/>
      <c r="B758" s="62"/>
      <c r="C758" s="76"/>
      <c r="D758" s="77"/>
      <c r="E758" s="62"/>
      <c r="F758" s="62"/>
      <c r="G758" s="76"/>
      <c r="H758" s="76"/>
      <c r="I758" s="76"/>
      <c r="J758" s="76"/>
      <c r="K758" s="76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spans="1:26" ht="15.75" customHeight="1" x14ac:dyDescent="0.25">
      <c r="A759" s="62"/>
      <c r="B759" s="62"/>
      <c r="C759" s="76"/>
      <c r="D759" s="77"/>
      <c r="E759" s="62"/>
      <c r="F759" s="62"/>
      <c r="G759" s="76"/>
      <c r="H759" s="76"/>
      <c r="I759" s="76"/>
      <c r="J759" s="76"/>
      <c r="K759" s="76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spans="1:26" ht="15.75" customHeight="1" x14ac:dyDescent="0.25">
      <c r="A760" s="62"/>
      <c r="B760" s="62"/>
      <c r="C760" s="76"/>
      <c r="D760" s="77"/>
      <c r="E760" s="62"/>
      <c r="F760" s="62"/>
      <c r="G760" s="76"/>
      <c r="H760" s="76"/>
      <c r="I760" s="76"/>
      <c r="J760" s="76"/>
      <c r="K760" s="76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spans="1:26" ht="15.75" customHeight="1" x14ac:dyDescent="0.25">
      <c r="A761" s="62"/>
      <c r="B761" s="62"/>
      <c r="C761" s="76"/>
      <c r="D761" s="77"/>
      <c r="E761" s="62"/>
      <c r="F761" s="62"/>
      <c r="G761" s="76"/>
      <c r="H761" s="76"/>
      <c r="I761" s="76"/>
      <c r="J761" s="76"/>
      <c r="K761" s="76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spans="1:26" ht="15.75" customHeight="1" x14ac:dyDescent="0.25">
      <c r="A762" s="62"/>
      <c r="B762" s="62"/>
      <c r="C762" s="76"/>
      <c r="D762" s="77"/>
      <c r="E762" s="62"/>
      <c r="F762" s="62"/>
      <c r="G762" s="76"/>
      <c r="H762" s="76"/>
      <c r="I762" s="76"/>
      <c r="J762" s="76"/>
      <c r="K762" s="76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spans="1:26" ht="15.75" customHeight="1" x14ac:dyDescent="0.25">
      <c r="A763" s="62"/>
      <c r="B763" s="62"/>
      <c r="C763" s="76"/>
      <c r="D763" s="77"/>
      <c r="E763" s="62"/>
      <c r="F763" s="62"/>
      <c r="G763" s="76"/>
      <c r="H763" s="76"/>
      <c r="I763" s="76"/>
      <c r="J763" s="76"/>
      <c r="K763" s="76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spans="1:26" ht="15.75" customHeight="1" x14ac:dyDescent="0.25">
      <c r="A764" s="62"/>
      <c r="B764" s="62"/>
      <c r="C764" s="76"/>
      <c r="D764" s="77"/>
      <c r="E764" s="62"/>
      <c r="F764" s="62"/>
      <c r="G764" s="76"/>
      <c r="H764" s="76"/>
      <c r="I764" s="76"/>
      <c r="J764" s="76"/>
      <c r="K764" s="76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spans="1:26" ht="15.75" customHeight="1" x14ac:dyDescent="0.25">
      <c r="A765" s="62"/>
      <c r="B765" s="62"/>
      <c r="C765" s="76"/>
      <c r="D765" s="77"/>
      <c r="E765" s="62"/>
      <c r="F765" s="62"/>
      <c r="G765" s="76"/>
      <c r="H765" s="76"/>
      <c r="I765" s="76"/>
      <c r="J765" s="76"/>
      <c r="K765" s="76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spans="1:26" ht="15.75" customHeight="1" x14ac:dyDescent="0.25">
      <c r="A766" s="62"/>
      <c r="B766" s="62"/>
      <c r="C766" s="76"/>
      <c r="D766" s="77"/>
      <c r="E766" s="62"/>
      <c r="F766" s="62"/>
      <c r="G766" s="76"/>
      <c r="H766" s="76"/>
      <c r="I766" s="76"/>
      <c r="J766" s="76"/>
      <c r="K766" s="76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spans="1:26" ht="15.75" customHeight="1" x14ac:dyDescent="0.25">
      <c r="A767" s="62"/>
      <c r="B767" s="62"/>
      <c r="C767" s="76"/>
      <c r="D767" s="77"/>
      <c r="E767" s="62"/>
      <c r="F767" s="62"/>
      <c r="G767" s="76"/>
      <c r="H767" s="76"/>
      <c r="I767" s="76"/>
      <c r="J767" s="76"/>
      <c r="K767" s="76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spans="1:26" ht="15.75" customHeight="1" x14ac:dyDescent="0.25">
      <c r="A768" s="62"/>
      <c r="B768" s="62"/>
      <c r="C768" s="76"/>
      <c r="D768" s="77"/>
      <c r="E768" s="62"/>
      <c r="F768" s="62"/>
      <c r="G768" s="76"/>
      <c r="H768" s="76"/>
      <c r="I768" s="76"/>
      <c r="J768" s="76"/>
      <c r="K768" s="76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spans="1:26" ht="15.75" customHeight="1" x14ac:dyDescent="0.25">
      <c r="A769" s="62"/>
      <c r="B769" s="62"/>
      <c r="C769" s="76"/>
      <c r="D769" s="77"/>
      <c r="E769" s="62"/>
      <c r="F769" s="62"/>
      <c r="G769" s="76"/>
      <c r="H769" s="76"/>
      <c r="I769" s="76"/>
      <c r="J769" s="76"/>
      <c r="K769" s="76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spans="1:26" ht="15.75" customHeight="1" x14ac:dyDescent="0.25">
      <c r="A770" s="62"/>
      <c r="B770" s="62"/>
      <c r="C770" s="76"/>
      <c r="D770" s="77"/>
      <c r="E770" s="62"/>
      <c r="F770" s="62"/>
      <c r="G770" s="76"/>
      <c r="H770" s="76"/>
      <c r="I770" s="76"/>
      <c r="J770" s="76"/>
      <c r="K770" s="76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spans="1:26" ht="15.75" customHeight="1" x14ac:dyDescent="0.25">
      <c r="A771" s="62"/>
      <c r="B771" s="62"/>
      <c r="C771" s="76"/>
      <c r="D771" s="77"/>
      <c r="E771" s="62"/>
      <c r="F771" s="62"/>
      <c r="G771" s="76"/>
      <c r="H771" s="76"/>
      <c r="I771" s="76"/>
      <c r="J771" s="76"/>
      <c r="K771" s="76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spans="1:26" ht="15.75" customHeight="1" x14ac:dyDescent="0.25">
      <c r="A772" s="62"/>
      <c r="B772" s="62"/>
      <c r="C772" s="76"/>
      <c r="D772" s="77"/>
      <c r="E772" s="62"/>
      <c r="F772" s="62"/>
      <c r="G772" s="76"/>
      <c r="H772" s="76"/>
      <c r="I772" s="76"/>
      <c r="J772" s="76"/>
      <c r="K772" s="76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spans="1:26" ht="15.75" customHeight="1" x14ac:dyDescent="0.25">
      <c r="A773" s="62"/>
      <c r="B773" s="62"/>
      <c r="C773" s="76"/>
      <c r="D773" s="77"/>
      <c r="E773" s="62"/>
      <c r="F773" s="62"/>
      <c r="G773" s="76"/>
      <c r="H773" s="76"/>
      <c r="I773" s="76"/>
      <c r="J773" s="76"/>
      <c r="K773" s="76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spans="1:26" ht="15.75" customHeight="1" x14ac:dyDescent="0.25">
      <c r="A774" s="62"/>
      <c r="B774" s="62"/>
      <c r="C774" s="76"/>
      <c r="D774" s="77"/>
      <c r="E774" s="62"/>
      <c r="F774" s="62"/>
      <c r="G774" s="76"/>
      <c r="H774" s="76"/>
      <c r="I774" s="76"/>
      <c r="J774" s="76"/>
      <c r="K774" s="76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spans="1:26" ht="15.75" customHeight="1" x14ac:dyDescent="0.25">
      <c r="A775" s="62"/>
      <c r="B775" s="62"/>
      <c r="C775" s="76"/>
      <c r="D775" s="77"/>
      <c r="E775" s="62"/>
      <c r="F775" s="62"/>
      <c r="G775" s="76"/>
      <c r="H775" s="76"/>
      <c r="I775" s="76"/>
      <c r="J775" s="76"/>
      <c r="K775" s="76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spans="1:26" ht="15.75" customHeight="1" x14ac:dyDescent="0.25">
      <c r="A776" s="62"/>
      <c r="B776" s="62"/>
      <c r="C776" s="76"/>
      <c r="D776" s="77"/>
      <c r="E776" s="62"/>
      <c r="F776" s="62"/>
      <c r="G776" s="76"/>
      <c r="H776" s="76"/>
      <c r="I776" s="76"/>
      <c r="J776" s="76"/>
      <c r="K776" s="76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spans="1:26" ht="15.75" customHeight="1" x14ac:dyDescent="0.25">
      <c r="A777" s="62"/>
      <c r="B777" s="62"/>
      <c r="C777" s="76"/>
      <c r="D777" s="77"/>
      <c r="E777" s="62"/>
      <c r="F777" s="62"/>
      <c r="G777" s="76"/>
      <c r="H777" s="76"/>
      <c r="I777" s="76"/>
      <c r="J777" s="76"/>
      <c r="K777" s="76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spans="1:26" ht="15.75" customHeight="1" x14ac:dyDescent="0.25">
      <c r="A778" s="62"/>
      <c r="B778" s="62"/>
      <c r="C778" s="76"/>
      <c r="D778" s="77"/>
      <c r="E778" s="62"/>
      <c r="F778" s="62"/>
      <c r="G778" s="76"/>
      <c r="H778" s="76"/>
      <c r="I778" s="76"/>
      <c r="J778" s="76"/>
      <c r="K778" s="76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spans="1:26" ht="15.75" customHeight="1" x14ac:dyDescent="0.25">
      <c r="A779" s="62"/>
      <c r="B779" s="62"/>
      <c r="C779" s="76"/>
      <c r="D779" s="77"/>
      <c r="E779" s="62"/>
      <c r="F779" s="62"/>
      <c r="G779" s="76"/>
      <c r="H779" s="76"/>
      <c r="I779" s="76"/>
      <c r="J779" s="76"/>
      <c r="K779" s="76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spans="1:26" ht="15.75" customHeight="1" x14ac:dyDescent="0.25">
      <c r="A780" s="62"/>
      <c r="B780" s="62"/>
      <c r="C780" s="76"/>
      <c r="D780" s="77"/>
      <c r="E780" s="62"/>
      <c r="F780" s="62"/>
      <c r="G780" s="76"/>
      <c r="H780" s="76"/>
      <c r="I780" s="76"/>
      <c r="J780" s="76"/>
      <c r="K780" s="76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spans="1:26" ht="15.75" customHeight="1" x14ac:dyDescent="0.25">
      <c r="A781" s="62"/>
      <c r="B781" s="62"/>
      <c r="C781" s="76"/>
      <c r="D781" s="77"/>
      <c r="E781" s="62"/>
      <c r="F781" s="62"/>
      <c r="G781" s="76"/>
      <c r="H781" s="76"/>
      <c r="I781" s="76"/>
      <c r="J781" s="76"/>
      <c r="K781" s="76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spans="1:26" ht="15.75" customHeight="1" x14ac:dyDescent="0.25">
      <c r="A782" s="62"/>
      <c r="B782" s="62"/>
      <c r="C782" s="76"/>
      <c r="D782" s="77"/>
      <c r="E782" s="62"/>
      <c r="F782" s="62"/>
      <c r="G782" s="76"/>
      <c r="H782" s="76"/>
      <c r="I782" s="76"/>
      <c r="J782" s="76"/>
      <c r="K782" s="76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spans="1:26" ht="15.75" customHeight="1" x14ac:dyDescent="0.25">
      <c r="A783" s="62"/>
      <c r="B783" s="62"/>
      <c r="C783" s="76"/>
      <c r="D783" s="77"/>
      <c r="E783" s="62"/>
      <c r="F783" s="62"/>
      <c r="G783" s="76"/>
      <c r="H783" s="76"/>
      <c r="I783" s="76"/>
      <c r="J783" s="76"/>
      <c r="K783" s="76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spans="1:26" ht="15.75" customHeight="1" x14ac:dyDescent="0.25">
      <c r="A784" s="62"/>
      <c r="B784" s="62"/>
      <c r="C784" s="76"/>
      <c r="D784" s="77"/>
      <c r="E784" s="62"/>
      <c r="F784" s="62"/>
      <c r="G784" s="76"/>
      <c r="H784" s="76"/>
      <c r="I784" s="76"/>
      <c r="J784" s="76"/>
      <c r="K784" s="76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spans="1:26" ht="15.75" customHeight="1" x14ac:dyDescent="0.25">
      <c r="A785" s="62"/>
      <c r="B785" s="62"/>
      <c r="C785" s="76"/>
      <c r="D785" s="77"/>
      <c r="E785" s="62"/>
      <c r="F785" s="62"/>
      <c r="G785" s="76"/>
      <c r="H785" s="76"/>
      <c r="I785" s="76"/>
      <c r="J785" s="76"/>
      <c r="K785" s="76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spans="1:26" ht="15.75" customHeight="1" x14ac:dyDescent="0.25">
      <c r="A786" s="62"/>
      <c r="B786" s="62"/>
      <c r="C786" s="76"/>
      <c r="D786" s="77"/>
      <c r="E786" s="62"/>
      <c r="F786" s="62"/>
      <c r="G786" s="76"/>
      <c r="H786" s="76"/>
      <c r="I786" s="76"/>
      <c r="J786" s="76"/>
      <c r="K786" s="76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spans="1:26" ht="15.75" customHeight="1" x14ac:dyDescent="0.25">
      <c r="A787" s="62"/>
      <c r="B787" s="62"/>
      <c r="C787" s="76"/>
      <c r="D787" s="77"/>
      <c r="E787" s="62"/>
      <c r="F787" s="62"/>
      <c r="G787" s="76"/>
      <c r="H787" s="76"/>
      <c r="I787" s="76"/>
      <c r="J787" s="76"/>
      <c r="K787" s="76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spans="1:26" ht="15.75" customHeight="1" x14ac:dyDescent="0.25">
      <c r="A788" s="62"/>
      <c r="B788" s="62"/>
      <c r="C788" s="76"/>
      <c r="D788" s="77"/>
      <c r="E788" s="62"/>
      <c r="F788" s="62"/>
      <c r="G788" s="76"/>
      <c r="H788" s="76"/>
      <c r="I788" s="76"/>
      <c r="J788" s="76"/>
      <c r="K788" s="76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spans="1:26" ht="15.75" customHeight="1" x14ac:dyDescent="0.25">
      <c r="A789" s="62"/>
      <c r="B789" s="62"/>
      <c r="C789" s="76"/>
      <c r="D789" s="77"/>
      <c r="E789" s="62"/>
      <c r="F789" s="62"/>
      <c r="G789" s="76"/>
      <c r="H789" s="76"/>
      <c r="I789" s="76"/>
      <c r="J789" s="76"/>
      <c r="K789" s="76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spans="1:26" ht="15.75" customHeight="1" x14ac:dyDescent="0.25">
      <c r="A790" s="62"/>
      <c r="B790" s="62"/>
      <c r="C790" s="76"/>
      <c r="D790" s="77"/>
      <c r="E790" s="62"/>
      <c r="F790" s="62"/>
      <c r="G790" s="76"/>
      <c r="H790" s="76"/>
      <c r="I790" s="76"/>
      <c r="J790" s="76"/>
      <c r="K790" s="76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spans="1:26" ht="15.75" customHeight="1" x14ac:dyDescent="0.25">
      <c r="A791" s="62"/>
      <c r="B791" s="62"/>
      <c r="C791" s="76"/>
      <c r="D791" s="77"/>
      <c r="E791" s="62"/>
      <c r="F791" s="62"/>
      <c r="G791" s="76"/>
      <c r="H791" s="76"/>
      <c r="I791" s="76"/>
      <c r="J791" s="76"/>
      <c r="K791" s="76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spans="1:26" ht="15.75" customHeight="1" x14ac:dyDescent="0.25">
      <c r="A792" s="62"/>
      <c r="B792" s="62"/>
      <c r="C792" s="76"/>
      <c r="D792" s="77"/>
      <c r="E792" s="62"/>
      <c r="F792" s="62"/>
      <c r="G792" s="76"/>
      <c r="H792" s="76"/>
      <c r="I792" s="76"/>
      <c r="J792" s="76"/>
      <c r="K792" s="76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spans="1:26" ht="15.75" customHeight="1" x14ac:dyDescent="0.25">
      <c r="A793" s="62"/>
      <c r="B793" s="62"/>
      <c r="C793" s="76"/>
      <c r="D793" s="77"/>
      <c r="E793" s="62"/>
      <c r="F793" s="62"/>
      <c r="G793" s="76"/>
      <c r="H793" s="76"/>
      <c r="I793" s="76"/>
      <c r="J793" s="76"/>
      <c r="K793" s="76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spans="1:26" ht="15.75" customHeight="1" x14ac:dyDescent="0.25">
      <c r="A794" s="62"/>
      <c r="B794" s="62"/>
      <c r="C794" s="76"/>
      <c r="D794" s="77"/>
      <c r="E794" s="62"/>
      <c r="F794" s="62"/>
      <c r="G794" s="76"/>
      <c r="H794" s="76"/>
      <c r="I794" s="76"/>
      <c r="J794" s="76"/>
      <c r="K794" s="76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spans="1:26" ht="15.75" customHeight="1" x14ac:dyDescent="0.25">
      <c r="A795" s="62"/>
      <c r="B795" s="62"/>
      <c r="C795" s="76"/>
      <c r="D795" s="77"/>
      <c r="E795" s="62"/>
      <c r="F795" s="62"/>
      <c r="G795" s="76"/>
      <c r="H795" s="76"/>
      <c r="I795" s="76"/>
      <c r="J795" s="76"/>
      <c r="K795" s="76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spans="1:26" ht="15.75" customHeight="1" x14ac:dyDescent="0.25">
      <c r="A796" s="62"/>
      <c r="B796" s="62"/>
      <c r="C796" s="76"/>
      <c r="D796" s="77"/>
      <c r="E796" s="62"/>
      <c r="F796" s="62"/>
      <c r="G796" s="76"/>
      <c r="H796" s="76"/>
      <c r="I796" s="76"/>
      <c r="J796" s="76"/>
      <c r="K796" s="76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spans="1:26" ht="15.75" customHeight="1" x14ac:dyDescent="0.25">
      <c r="A797" s="62"/>
      <c r="B797" s="62"/>
      <c r="C797" s="76"/>
      <c r="D797" s="77"/>
      <c r="E797" s="62"/>
      <c r="F797" s="62"/>
      <c r="G797" s="76"/>
      <c r="H797" s="76"/>
      <c r="I797" s="76"/>
      <c r="J797" s="76"/>
      <c r="K797" s="76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spans="1:26" ht="15.75" customHeight="1" x14ac:dyDescent="0.25">
      <c r="A798" s="62"/>
      <c r="B798" s="62"/>
      <c r="C798" s="76"/>
      <c r="D798" s="77"/>
      <c r="E798" s="62"/>
      <c r="F798" s="62"/>
      <c r="G798" s="76"/>
      <c r="H798" s="76"/>
      <c r="I798" s="76"/>
      <c r="J798" s="76"/>
      <c r="K798" s="76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spans="1:26" ht="15.75" customHeight="1" x14ac:dyDescent="0.25">
      <c r="A799" s="62"/>
      <c r="B799" s="62"/>
      <c r="C799" s="76"/>
      <c r="D799" s="77"/>
      <c r="E799" s="62"/>
      <c r="F799" s="62"/>
      <c r="G799" s="76"/>
      <c r="H799" s="76"/>
      <c r="I799" s="76"/>
      <c r="J799" s="76"/>
      <c r="K799" s="76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spans="1:26" ht="15.75" customHeight="1" x14ac:dyDescent="0.25">
      <c r="A800" s="62"/>
      <c r="B800" s="62"/>
      <c r="C800" s="76"/>
      <c r="D800" s="77"/>
      <c r="E800" s="62"/>
      <c r="F800" s="62"/>
      <c r="G800" s="76"/>
      <c r="H800" s="76"/>
      <c r="I800" s="76"/>
      <c r="J800" s="76"/>
      <c r="K800" s="76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spans="1:26" ht="15.75" customHeight="1" x14ac:dyDescent="0.25">
      <c r="A801" s="62"/>
      <c r="B801" s="62"/>
      <c r="C801" s="76"/>
      <c r="D801" s="77"/>
      <c r="E801" s="62"/>
      <c r="F801" s="62"/>
      <c r="G801" s="76"/>
      <c r="H801" s="76"/>
      <c r="I801" s="76"/>
      <c r="J801" s="76"/>
      <c r="K801" s="76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spans="1:26" ht="15.75" customHeight="1" x14ac:dyDescent="0.25">
      <c r="A802" s="62"/>
      <c r="B802" s="62"/>
      <c r="C802" s="76"/>
      <c r="D802" s="77"/>
      <c r="E802" s="62"/>
      <c r="F802" s="62"/>
      <c r="G802" s="76"/>
      <c r="H802" s="76"/>
      <c r="I802" s="76"/>
      <c r="J802" s="76"/>
      <c r="K802" s="76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spans="1:26" ht="15.75" customHeight="1" x14ac:dyDescent="0.25">
      <c r="A803" s="62"/>
      <c r="B803" s="62"/>
      <c r="C803" s="76"/>
      <c r="D803" s="77"/>
      <c r="E803" s="62"/>
      <c r="F803" s="62"/>
      <c r="G803" s="76"/>
      <c r="H803" s="76"/>
      <c r="I803" s="76"/>
      <c r="J803" s="76"/>
      <c r="K803" s="76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spans="1:26" ht="15.75" customHeight="1" x14ac:dyDescent="0.25">
      <c r="A804" s="62"/>
      <c r="B804" s="62"/>
      <c r="C804" s="76"/>
      <c r="D804" s="77"/>
      <c r="E804" s="62"/>
      <c r="F804" s="62"/>
      <c r="G804" s="76"/>
      <c r="H804" s="76"/>
      <c r="I804" s="76"/>
      <c r="J804" s="76"/>
      <c r="K804" s="76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spans="1:26" ht="15.75" customHeight="1" x14ac:dyDescent="0.25">
      <c r="A805" s="62"/>
      <c r="B805" s="62"/>
      <c r="C805" s="76"/>
      <c r="D805" s="77"/>
      <c r="E805" s="62"/>
      <c r="F805" s="62"/>
      <c r="G805" s="76"/>
      <c r="H805" s="76"/>
      <c r="I805" s="76"/>
      <c r="J805" s="76"/>
      <c r="K805" s="76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spans="1:26" ht="15.75" customHeight="1" x14ac:dyDescent="0.25">
      <c r="A806" s="62"/>
      <c r="B806" s="62"/>
      <c r="C806" s="76"/>
      <c r="D806" s="77"/>
      <c r="E806" s="62"/>
      <c r="F806" s="62"/>
      <c r="G806" s="76"/>
      <c r="H806" s="76"/>
      <c r="I806" s="76"/>
      <c r="J806" s="76"/>
      <c r="K806" s="76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spans="1:26" ht="15.75" customHeight="1" x14ac:dyDescent="0.25">
      <c r="A807" s="62"/>
      <c r="B807" s="62"/>
      <c r="C807" s="76"/>
      <c r="D807" s="77"/>
      <c r="E807" s="62"/>
      <c r="F807" s="62"/>
      <c r="G807" s="76"/>
      <c r="H807" s="76"/>
      <c r="I807" s="76"/>
      <c r="J807" s="76"/>
      <c r="K807" s="76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spans="1:26" ht="15.75" customHeight="1" x14ac:dyDescent="0.25">
      <c r="A808" s="62"/>
      <c r="B808" s="62"/>
      <c r="C808" s="76"/>
      <c r="D808" s="77"/>
      <c r="E808" s="62"/>
      <c r="F808" s="62"/>
      <c r="G808" s="76"/>
      <c r="H808" s="76"/>
      <c r="I808" s="76"/>
      <c r="J808" s="76"/>
      <c r="K808" s="76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spans="1:26" ht="15.75" customHeight="1" x14ac:dyDescent="0.25">
      <c r="A809" s="62"/>
      <c r="B809" s="62"/>
      <c r="C809" s="76"/>
      <c r="D809" s="77"/>
      <c r="E809" s="62"/>
      <c r="F809" s="62"/>
      <c r="G809" s="76"/>
      <c r="H809" s="76"/>
      <c r="I809" s="76"/>
      <c r="J809" s="76"/>
      <c r="K809" s="76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spans="1:26" ht="15.75" customHeight="1" x14ac:dyDescent="0.25">
      <c r="A810" s="62"/>
      <c r="B810" s="62"/>
      <c r="C810" s="76"/>
      <c r="D810" s="77"/>
      <c r="E810" s="62"/>
      <c r="F810" s="62"/>
      <c r="G810" s="76"/>
      <c r="H810" s="76"/>
      <c r="I810" s="76"/>
      <c r="J810" s="76"/>
      <c r="K810" s="76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spans="1:26" ht="15.75" customHeight="1" x14ac:dyDescent="0.25">
      <c r="A811" s="62"/>
      <c r="B811" s="62"/>
      <c r="C811" s="76"/>
      <c r="D811" s="77"/>
      <c r="E811" s="62"/>
      <c r="F811" s="62"/>
      <c r="G811" s="76"/>
      <c r="H811" s="76"/>
      <c r="I811" s="76"/>
      <c r="J811" s="76"/>
      <c r="K811" s="76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spans="1:26" ht="15.75" customHeight="1" x14ac:dyDescent="0.25">
      <c r="A812" s="62"/>
      <c r="B812" s="62"/>
      <c r="C812" s="76"/>
      <c r="D812" s="77"/>
      <c r="E812" s="62"/>
      <c r="F812" s="62"/>
      <c r="G812" s="76"/>
      <c r="H812" s="76"/>
      <c r="I812" s="76"/>
      <c r="J812" s="76"/>
      <c r="K812" s="76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spans="1:26" ht="15.75" customHeight="1" x14ac:dyDescent="0.25">
      <c r="A813" s="62"/>
      <c r="B813" s="62"/>
      <c r="C813" s="76"/>
      <c r="D813" s="77"/>
      <c r="E813" s="62"/>
      <c r="F813" s="62"/>
      <c r="G813" s="76"/>
      <c r="H813" s="76"/>
      <c r="I813" s="76"/>
      <c r="J813" s="76"/>
      <c r="K813" s="76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spans="1:26" ht="15.75" customHeight="1" x14ac:dyDescent="0.25">
      <c r="A814" s="62"/>
      <c r="B814" s="62"/>
      <c r="C814" s="76"/>
      <c r="D814" s="77"/>
      <c r="E814" s="62"/>
      <c r="F814" s="62"/>
      <c r="G814" s="76"/>
      <c r="H814" s="76"/>
      <c r="I814" s="76"/>
      <c r="J814" s="76"/>
      <c r="K814" s="76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spans="1:26" ht="15.75" customHeight="1" x14ac:dyDescent="0.25">
      <c r="A815" s="62"/>
      <c r="B815" s="62"/>
      <c r="C815" s="76"/>
      <c r="D815" s="77"/>
      <c r="E815" s="62"/>
      <c r="F815" s="62"/>
      <c r="G815" s="76"/>
      <c r="H815" s="76"/>
      <c r="I815" s="76"/>
      <c r="J815" s="76"/>
      <c r="K815" s="76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spans="1:26" ht="15.75" customHeight="1" x14ac:dyDescent="0.25">
      <c r="A816" s="62"/>
      <c r="B816" s="62"/>
      <c r="C816" s="76"/>
      <c r="D816" s="77"/>
      <c r="E816" s="62"/>
      <c r="F816" s="62"/>
      <c r="G816" s="76"/>
      <c r="H816" s="76"/>
      <c r="I816" s="76"/>
      <c r="J816" s="76"/>
      <c r="K816" s="76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spans="1:26" ht="15.75" customHeight="1" x14ac:dyDescent="0.25">
      <c r="A817" s="62"/>
      <c r="B817" s="62"/>
      <c r="C817" s="76"/>
      <c r="D817" s="77"/>
      <c r="E817" s="62"/>
      <c r="F817" s="62"/>
      <c r="G817" s="76"/>
      <c r="H817" s="76"/>
      <c r="I817" s="76"/>
      <c r="J817" s="76"/>
      <c r="K817" s="76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spans="1:26" ht="15.75" customHeight="1" x14ac:dyDescent="0.25">
      <c r="A818" s="62"/>
      <c r="B818" s="62"/>
      <c r="C818" s="76"/>
      <c r="D818" s="77"/>
      <c r="E818" s="62"/>
      <c r="F818" s="62"/>
      <c r="G818" s="76"/>
      <c r="H818" s="76"/>
      <c r="I818" s="76"/>
      <c r="J818" s="76"/>
      <c r="K818" s="76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spans="1:26" ht="15.75" customHeight="1" x14ac:dyDescent="0.25">
      <c r="A819" s="62"/>
      <c r="B819" s="62"/>
      <c r="C819" s="76"/>
      <c r="D819" s="77"/>
      <c r="E819" s="62"/>
      <c r="F819" s="62"/>
      <c r="G819" s="76"/>
      <c r="H819" s="76"/>
      <c r="I819" s="76"/>
      <c r="J819" s="76"/>
      <c r="K819" s="76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spans="1:26" ht="15.75" customHeight="1" x14ac:dyDescent="0.25">
      <c r="A820" s="62"/>
      <c r="B820" s="62"/>
      <c r="C820" s="76"/>
      <c r="D820" s="77"/>
      <c r="E820" s="62"/>
      <c r="F820" s="62"/>
      <c r="G820" s="76"/>
      <c r="H820" s="76"/>
      <c r="I820" s="76"/>
      <c r="J820" s="76"/>
      <c r="K820" s="76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spans="1:26" ht="15.75" customHeight="1" x14ac:dyDescent="0.25">
      <c r="A821" s="62"/>
      <c r="B821" s="62"/>
      <c r="C821" s="76"/>
      <c r="D821" s="77"/>
      <c r="E821" s="62"/>
      <c r="F821" s="62"/>
      <c r="G821" s="76"/>
      <c r="H821" s="76"/>
      <c r="I821" s="76"/>
      <c r="J821" s="76"/>
      <c r="K821" s="76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spans="1:26" ht="15.75" customHeight="1" x14ac:dyDescent="0.25">
      <c r="A822" s="62"/>
      <c r="B822" s="62"/>
      <c r="C822" s="76"/>
      <c r="D822" s="77"/>
      <c r="E822" s="62"/>
      <c r="F822" s="62"/>
      <c r="G822" s="76"/>
      <c r="H822" s="76"/>
      <c r="I822" s="76"/>
      <c r="J822" s="76"/>
      <c r="K822" s="76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spans="1:26" ht="15.75" customHeight="1" x14ac:dyDescent="0.25">
      <c r="A823" s="62"/>
      <c r="B823" s="62"/>
      <c r="C823" s="76"/>
      <c r="D823" s="77"/>
      <c r="E823" s="62"/>
      <c r="F823" s="62"/>
      <c r="G823" s="76"/>
      <c r="H823" s="76"/>
      <c r="I823" s="76"/>
      <c r="J823" s="76"/>
      <c r="K823" s="76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spans="1:26" ht="15.75" customHeight="1" x14ac:dyDescent="0.25">
      <c r="A824" s="62"/>
      <c r="B824" s="62"/>
      <c r="C824" s="76"/>
      <c r="D824" s="77"/>
      <c r="E824" s="62"/>
      <c r="F824" s="62"/>
      <c r="G824" s="76"/>
      <c r="H824" s="76"/>
      <c r="I824" s="76"/>
      <c r="J824" s="76"/>
      <c r="K824" s="76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spans="1:26" ht="15.75" customHeight="1" x14ac:dyDescent="0.25">
      <c r="A825" s="62"/>
      <c r="B825" s="62"/>
      <c r="C825" s="76"/>
      <c r="D825" s="77"/>
      <c r="E825" s="62"/>
      <c r="F825" s="62"/>
      <c r="G825" s="76"/>
      <c r="H825" s="76"/>
      <c r="I825" s="76"/>
      <c r="J825" s="76"/>
      <c r="K825" s="76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spans="1:26" ht="15.75" customHeight="1" x14ac:dyDescent="0.25">
      <c r="A826" s="62"/>
      <c r="B826" s="62"/>
      <c r="C826" s="76"/>
      <c r="D826" s="77"/>
      <c r="E826" s="62"/>
      <c r="F826" s="62"/>
      <c r="G826" s="76"/>
      <c r="H826" s="76"/>
      <c r="I826" s="76"/>
      <c r="J826" s="76"/>
      <c r="K826" s="76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spans="1:26" ht="15.75" customHeight="1" x14ac:dyDescent="0.25">
      <c r="A827" s="62"/>
      <c r="B827" s="62"/>
      <c r="C827" s="76"/>
      <c r="D827" s="77"/>
      <c r="E827" s="62"/>
      <c r="F827" s="62"/>
      <c r="G827" s="76"/>
      <c r="H827" s="76"/>
      <c r="I827" s="76"/>
      <c r="J827" s="76"/>
      <c r="K827" s="76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spans="1:26" ht="15.75" customHeight="1" x14ac:dyDescent="0.25">
      <c r="A828" s="62"/>
      <c r="B828" s="62"/>
      <c r="C828" s="76"/>
      <c r="D828" s="77"/>
      <c r="E828" s="62"/>
      <c r="F828" s="62"/>
      <c r="G828" s="76"/>
      <c r="H828" s="76"/>
      <c r="I828" s="76"/>
      <c r="J828" s="76"/>
      <c r="K828" s="76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spans="1:26" ht="15.75" customHeight="1" x14ac:dyDescent="0.25">
      <c r="A829" s="62"/>
      <c r="B829" s="62"/>
      <c r="C829" s="76"/>
      <c r="D829" s="77"/>
      <c r="E829" s="62"/>
      <c r="F829" s="62"/>
      <c r="G829" s="76"/>
      <c r="H829" s="76"/>
      <c r="I829" s="76"/>
      <c r="J829" s="76"/>
      <c r="K829" s="76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spans="1:26" ht="15.75" customHeight="1" x14ac:dyDescent="0.25">
      <c r="A830" s="62"/>
      <c r="B830" s="62"/>
      <c r="C830" s="76"/>
      <c r="D830" s="77"/>
      <c r="E830" s="62"/>
      <c r="F830" s="62"/>
      <c r="G830" s="76"/>
      <c r="H830" s="76"/>
      <c r="I830" s="76"/>
      <c r="J830" s="76"/>
      <c r="K830" s="76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spans="1:26" ht="15.75" customHeight="1" x14ac:dyDescent="0.25">
      <c r="A831" s="62"/>
      <c r="B831" s="62"/>
      <c r="C831" s="76"/>
      <c r="D831" s="77"/>
      <c r="E831" s="62"/>
      <c r="F831" s="62"/>
      <c r="G831" s="76"/>
      <c r="H831" s="76"/>
      <c r="I831" s="76"/>
      <c r="J831" s="76"/>
      <c r="K831" s="76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spans="1:26" ht="15.75" customHeight="1" x14ac:dyDescent="0.25">
      <c r="A832" s="62"/>
      <c r="B832" s="62"/>
      <c r="C832" s="76"/>
      <c r="D832" s="77"/>
      <c r="E832" s="62"/>
      <c r="F832" s="62"/>
      <c r="G832" s="76"/>
      <c r="H832" s="76"/>
      <c r="I832" s="76"/>
      <c r="J832" s="76"/>
      <c r="K832" s="76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spans="1:26" ht="15.75" customHeight="1" x14ac:dyDescent="0.25">
      <c r="A833" s="62"/>
      <c r="B833" s="62"/>
      <c r="C833" s="76"/>
      <c r="D833" s="77"/>
      <c r="E833" s="62"/>
      <c r="F833" s="62"/>
      <c r="G833" s="76"/>
      <c r="H833" s="76"/>
      <c r="I833" s="76"/>
      <c r="J833" s="76"/>
      <c r="K833" s="76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spans="1:26" ht="15.75" customHeight="1" x14ac:dyDescent="0.25">
      <c r="A834" s="62"/>
      <c r="B834" s="62"/>
      <c r="C834" s="76"/>
      <c r="D834" s="77"/>
      <c r="E834" s="62"/>
      <c r="F834" s="62"/>
      <c r="G834" s="76"/>
      <c r="H834" s="76"/>
      <c r="I834" s="76"/>
      <c r="J834" s="76"/>
      <c r="K834" s="76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spans="1:26" ht="15.75" customHeight="1" x14ac:dyDescent="0.25">
      <c r="A835" s="62"/>
      <c r="B835" s="62"/>
      <c r="C835" s="76"/>
      <c r="D835" s="77"/>
      <c r="E835" s="62"/>
      <c r="F835" s="62"/>
      <c r="G835" s="76"/>
      <c r="H835" s="76"/>
      <c r="I835" s="76"/>
      <c r="J835" s="76"/>
      <c r="K835" s="76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spans="1:26" ht="15.75" customHeight="1" x14ac:dyDescent="0.25">
      <c r="A836" s="62"/>
      <c r="B836" s="62"/>
      <c r="C836" s="76"/>
      <c r="D836" s="77"/>
      <c r="E836" s="62"/>
      <c r="F836" s="62"/>
      <c r="G836" s="76"/>
      <c r="H836" s="76"/>
      <c r="I836" s="76"/>
      <c r="J836" s="76"/>
      <c r="K836" s="76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spans="1:26" ht="15.75" customHeight="1" x14ac:dyDescent="0.25">
      <c r="A837" s="62"/>
      <c r="B837" s="62"/>
      <c r="C837" s="76"/>
      <c r="D837" s="77"/>
      <c r="E837" s="62"/>
      <c r="F837" s="62"/>
      <c r="G837" s="76"/>
      <c r="H837" s="76"/>
      <c r="I837" s="76"/>
      <c r="J837" s="76"/>
      <c r="K837" s="76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spans="1:26" ht="15.75" customHeight="1" x14ac:dyDescent="0.25">
      <c r="A838" s="62"/>
      <c r="B838" s="62"/>
      <c r="C838" s="76"/>
      <c r="D838" s="77"/>
      <c r="E838" s="62"/>
      <c r="F838" s="62"/>
      <c r="G838" s="76"/>
      <c r="H838" s="76"/>
      <c r="I838" s="76"/>
      <c r="J838" s="76"/>
      <c r="K838" s="76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spans="1:26" ht="15.75" customHeight="1" x14ac:dyDescent="0.25">
      <c r="A839" s="62"/>
      <c r="B839" s="62"/>
      <c r="C839" s="76"/>
      <c r="D839" s="77"/>
      <c r="E839" s="62"/>
      <c r="F839" s="62"/>
      <c r="G839" s="76"/>
      <c r="H839" s="76"/>
      <c r="I839" s="76"/>
      <c r="J839" s="76"/>
      <c r="K839" s="76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spans="1:26" ht="15.75" customHeight="1" x14ac:dyDescent="0.25">
      <c r="A840" s="62"/>
      <c r="B840" s="62"/>
      <c r="C840" s="76"/>
      <c r="D840" s="77"/>
      <c r="E840" s="62"/>
      <c r="F840" s="62"/>
      <c r="G840" s="76"/>
      <c r="H840" s="76"/>
      <c r="I840" s="76"/>
      <c r="J840" s="76"/>
      <c r="K840" s="76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spans="1:26" ht="15.75" customHeight="1" x14ac:dyDescent="0.25">
      <c r="A841" s="62"/>
      <c r="B841" s="62"/>
      <c r="C841" s="76"/>
      <c r="D841" s="77"/>
      <c r="E841" s="62"/>
      <c r="F841" s="62"/>
      <c r="G841" s="76"/>
      <c r="H841" s="76"/>
      <c r="I841" s="76"/>
      <c r="J841" s="76"/>
      <c r="K841" s="76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spans="1:26" ht="15.75" customHeight="1" x14ac:dyDescent="0.25">
      <c r="A842" s="62"/>
      <c r="B842" s="62"/>
      <c r="C842" s="76"/>
      <c r="D842" s="77"/>
      <c r="E842" s="62"/>
      <c r="F842" s="62"/>
      <c r="G842" s="76"/>
      <c r="H842" s="76"/>
      <c r="I842" s="76"/>
      <c r="J842" s="76"/>
      <c r="K842" s="76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spans="1:26" ht="15.75" customHeight="1" x14ac:dyDescent="0.25">
      <c r="A843" s="62"/>
      <c r="B843" s="62"/>
      <c r="C843" s="76"/>
      <c r="D843" s="77"/>
      <c r="E843" s="62"/>
      <c r="F843" s="62"/>
      <c r="G843" s="76"/>
      <c r="H843" s="76"/>
      <c r="I843" s="76"/>
      <c r="J843" s="76"/>
      <c r="K843" s="76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spans="1:26" ht="15.75" customHeight="1" x14ac:dyDescent="0.25">
      <c r="A844" s="62"/>
      <c r="B844" s="62"/>
      <c r="C844" s="76"/>
      <c r="D844" s="77"/>
      <c r="E844" s="62"/>
      <c r="F844" s="62"/>
      <c r="G844" s="76"/>
      <c r="H844" s="76"/>
      <c r="I844" s="76"/>
      <c r="J844" s="76"/>
      <c r="K844" s="76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spans="1:26" ht="15.75" customHeight="1" x14ac:dyDescent="0.25">
      <c r="A845" s="62"/>
      <c r="B845" s="62"/>
      <c r="C845" s="76"/>
      <c r="D845" s="77"/>
      <c r="E845" s="62"/>
      <c r="F845" s="62"/>
      <c r="G845" s="76"/>
      <c r="H845" s="76"/>
      <c r="I845" s="76"/>
      <c r="J845" s="76"/>
      <c r="K845" s="76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spans="1:26" ht="15.75" customHeight="1" x14ac:dyDescent="0.25">
      <c r="A846" s="62"/>
      <c r="B846" s="62"/>
      <c r="C846" s="76"/>
      <c r="D846" s="77"/>
      <c r="E846" s="62"/>
      <c r="F846" s="62"/>
      <c r="G846" s="76"/>
      <c r="H846" s="76"/>
      <c r="I846" s="76"/>
      <c r="J846" s="76"/>
      <c r="K846" s="76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spans="1:26" ht="15.75" customHeight="1" x14ac:dyDescent="0.25">
      <c r="A847" s="62"/>
      <c r="B847" s="62"/>
      <c r="C847" s="76"/>
      <c r="D847" s="77"/>
      <c r="E847" s="62"/>
      <c r="F847" s="62"/>
      <c r="G847" s="76"/>
      <c r="H847" s="76"/>
      <c r="I847" s="76"/>
      <c r="J847" s="76"/>
      <c r="K847" s="76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spans="1:26" ht="15.75" customHeight="1" x14ac:dyDescent="0.25">
      <c r="A848" s="62"/>
      <c r="B848" s="62"/>
      <c r="C848" s="76"/>
      <c r="D848" s="77"/>
      <c r="E848" s="62"/>
      <c r="F848" s="62"/>
      <c r="G848" s="76"/>
      <c r="H848" s="76"/>
      <c r="I848" s="76"/>
      <c r="J848" s="76"/>
      <c r="K848" s="76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spans="1:26" ht="15.75" customHeight="1" x14ac:dyDescent="0.25">
      <c r="A849" s="62"/>
      <c r="B849" s="62"/>
      <c r="C849" s="76"/>
      <c r="D849" s="77"/>
      <c r="E849" s="62"/>
      <c r="F849" s="62"/>
      <c r="G849" s="76"/>
      <c r="H849" s="76"/>
      <c r="I849" s="76"/>
      <c r="J849" s="76"/>
      <c r="K849" s="76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spans="1:26" ht="15.75" customHeight="1" x14ac:dyDescent="0.25">
      <c r="A850" s="62"/>
      <c r="B850" s="62"/>
      <c r="C850" s="76"/>
      <c r="D850" s="77"/>
      <c r="E850" s="62"/>
      <c r="F850" s="62"/>
      <c r="G850" s="76"/>
      <c r="H850" s="76"/>
      <c r="I850" s="76"/>
      <c r="J850" s="76"/>
      <c r="K850" s="76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spans="1:26" ht="15.75" customHeight="1" x14ac:dyDescent="0.25">
      <c r="A851" s="62"/>
      <c r="B851" s="62"/>
      <c r="C851" s="76"/>
      <c r="D851" s="77"/>
      <c r="E851" s="62"/>
      <c r="F851" s="62"/>
      <c r="G851" s="76"/>
      <c r="H851" s="76"/>
      <c r="I851" s="76"/>
      <c r="J851" s="76"/>
      <c r="K851" s="76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spans="1:26" ht="15.75" customHeight="1" x14ac:dyDescent="0.25">
      <c r="A852" s="62"/>
      <c r="B852" s="62"/>
      <c r="C852" s="76"/>
      <c r="D852" s="77"/>
      <c r="E852" s="62"/>
      <c r="F852" s="62"/>
      <c r="G852" s="76"/>
      <c r="H852" s="76"/>
      <c r="I852" s="76"/>
      <c r="J852" s="76"/>
      <c r="K852" s="76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spans="1:26" ht="15.75" customHeight="1" x14ac:dyDescent="0.25">
      <c r="A853" s="62"/>
      <c r="B853" s="62"/>
      <c r="C853" s="76"/>
      <c r="D853" s="77"/>
      <c r="E853" s="62"/>
      <c r="F853" s="62"/>
      <c r="G853" s="76"/>
      <c r="H853" s="76"/>
      <c r="I853" s="76"/>
      <c r="J853" s="76"/>
      <c r="K853" s="76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spans="1:26" ht="15.75" customHeight="1" x14ac:dyDescent="0.25">
      <c r="A854" s="62"/>
      <c r="B854" s="62"/>
      <c r="C854" s="76"/>
      <c r="D854" s="77"/>
      <c r="E854" s="62"/>
      <c r="F854" s="62"/>
      <c r="G854" s="76"/>
      <c r="H854" s="76"/>
      <c r="I854" s="76"/>
      <c r="J854" s="76"/>
      <c r="K854" s="76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spans="1:26" ht="15.75" customHeight="1" x14ac:dyDescent="0.25">
      <c r="A855" s="62"/>
      <c r="B855" s="62"/>
      <c r="C855" s="76"/>
      <c r="D855" s="77"/>
      <c r="E855" s="62"/>
      <c r="F855" s="62"/>
      <c r="G855" s="76"/>
      <c r="H855" s="76"/>
      <c r="I855" s="76"/>
      <c r="J855" s="76"/>
      <c r="K855" s="76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spans="1:26" ht="15.75" customHeight="1" x14ac:dyDescent="0.25">
      <c r="A856" s="62"/>
      <c r="B856" s="62"/>
      <c r="C856" s="76"/>
      <c r="D856" s="77"/>
      <c r="E856" s="62"/>
      <c r="F856" s="62"/>
      <c r="G856" s="76"/>
      <c r="H856" s="76"/>
      <c r="I856" s="76"/>
      <c r="J856" s="76"/>
      <c r="K856" s="76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spans="1:26" ht="15.75" customHeight="1" x14ac:dyDescent="0.25">
      <c r="A857" s="62"/>
      <c r="B857" s="62"/>
      <c r="C857" s="76"/>
      <c r="D857" s="77"/>
      <c r="E857" s="62"/>
      <c r="F857" s="62"/>
      <c r="G857" s="76"/>
      <c r="H857" s="76"/>
      <c r="I857" s="76"/>
      <c r="J857" s="76"/>
      <c r="K857" s="76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spans="1:26" ht="15.75" customHeight="1" x14ac:dyDescent="0.25">
      <c r="A858" s="62"/>
      <c r="B858" s="62"/>
      <c r="C858" s="76"/>
      <c r="D858" s="77"/>
      <c r="E858" s="62"/>
      <c r="F858" s="62"/>
      <c r="G858" s="76"/>
      <c r="H858" s="76"/>
      <c r="I858" s="76"/>
      <c r="J858" s="76"/>
      <c r="K858" s="76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spans="1:26" ht="15.75" customHeight="1" x14ac:dyDescent="0.25">
      <c r="A859" s="62"/>
      <c r="B859" s="62"/>
      <c r="C859" s="76"/>
      <c r="D859" s="77"/>
      <c r="E859" s="62"/>
      <c r="F859" s="62"/>
      <c r="G859" s="76"/>
      <c r="H859" s="76"/>
      <c r="I859" s="76"/>
      <c r="J859" s="76"/>
      <c r="K859" s="76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spans="1:26" ht="15.75" customHeight="1" x14ac:dyDescent="0.25">
      <c r="A860" s="62"/>
      <c r="B860" s="62"/>
      <c r="C860" s="76"/>
      <c r="D860" s="77"/>
      <c r="E860" s="62"/>
      <c r="F860" s="62"/>
      <c r="G860" s="76"/>
      <c r="H860" s="76"/>
      <c r="I860" s="76"/>
      <c r="J860" s="76"/>
      <c r="K860" s="76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spans="1:26" ht="15.75" customHeight="1" x14ac:dyDescent="0.25">
      <c r="A861" s="62"/>
      <c r="B861" s="62"/>
      <c r="C861" s="76"/>
      <c r="D861" s="77"/>
      <c r="E861" s="62"/>
      <c r="F861" s="62"/>
      <c r="G861" s="76"/>
      <c r="H861" s="76"/>
      <c r="I861" s="76"/>
      <c r="J861" s="76"/>
      <c r="K861" s="76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spans="1:26" ht="15.75" customHeight="1" x14ac:dyDescent="0.25">
      <c r="A862" s="62"/>
      <c r="B862" s="62"/>
      <c r="C862" s="76"/>
      <c r="D862" s="77"/>
      <c r="E862" s="62"/>
      <c r="F862" s="62"/>
      <c r="G862" s="76"/>
      <c r="H862" s="76"/>
      <c r="I862" s="76"/>
      <c r="J862" s="76"/>
      <c r="K862" s="76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spans="1:26" ht="15.75" customHeight="1" x14ac:dyDescent="0.25">
      <c r="A863" s="62"/>
      <c r="B863" s="62"/>
      <c r="C863" s="76"/>
      <c r="D863" s="77"/>
      <c r="E863" s="62"/>
      <c r="F863" s="62"/>
      <c r="G863" s="76"/>
      <c r="H863" s="76"/>
      <c r="I863" s="76"/>
      <c r="J863" s="76"/>
      <c r="K863" s="76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spans="1:26" ht="15.75" customHeight="1" x14ac:dyDescent="0.25">
      <c r="A864" s="62"/>
      <c r="B864" s="62"/>
      <c r="C864" s="76"/>
      <c r="D864" s="77"/>
      <c r="E864" s="62"/>
      <c r="F864" s="62"/>
      <c r="G864" s="76"/>
      <c r="H864" s="76"/>
      <c r="I864" s="76"/>
      <c r="J864" s="76"/>
      <c r="K864" s="76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spans="1:26" ht="15.75" customHeight="1" x14ac:dyDescent="0.25">
      <c r="A865" s="62"/>
      <c r="B865" s="62"/>
      <c r="C865" s="76"/>
      <c r="D865" s="77"/>
      <c r="E865" s="62"/>
      <c r="F865" s="62"/>
      <c r="G865" s="76"/>
      <c r="H865" s="76"/>
      <c r="I865" s="76"/>
      <c r="J865" s="76"/>
      <c r="K865" s="76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spans="1:26" ht="15.75" customHeight="1" x14ac:dyDescent="0.25">
      <c r="A866" s="62"/>
      <c r="B866" s="62"/>
      <c r="C866" s="76"/>
      <c r="D866" s="77"/>
      <c r="E866" s="62"/>
      <c r="F866" s="62"/>
      <c r="G866" s="76"/>
      <c r="H866" s="76"/>
      <c r="I866" s="76"/>
      <c r="J866" s="76"/>
      <c r="K866" s="76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spans="1:26" ht="15.75" customHeight="1" x14ac:dyDescent="0.25">
      <c r="A867" s="62"/>
      <c r="B867" s="62"/>
      <c r="C867" s="76"/>
      <c r="D867" s="77"/>
      <c r="E867" s="62"/>
      <c r="F867" s="62"/>
      <c r="G867" s="76"/>
      <c r="H867" s="76"/>
      <c r="I867" s="76"/>
      <c r="J867" s="76"/>
      <c r="K867" s="76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spans="1:26" ht="15.75" customHeight="1" x14ac:dyDescent="0.25">
      <c r="A868" s="62"/>
      <c r="B868" s="62"/>
      <c r="C868" s="76"/>
      <c r="D868" s="77"/>
      <c r="E868" s="62"/>
      <c r="F868" s="62"/>
      <c r="G868" s="76"/>
      <c r="H868" s="76"/>
      <c r="I868" s="76"/>
      <c r="J868" s="76"/>
      <c r="K868" s="76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spans="1:26" ht="15.75" customHeight="1" x14ac:dyDescent="0.25">
      <c r="A869" s="62"/>
      <c r="B869" s="62"/>
      <c r="C869" s="76"/>
      <c r="D869" s="77"/>
      <c r="E869" s="62"/>
      <c r="F869" s="62"/>
      <c r="G869" s="76"/>
      <c r="H869" s="76"/>
      <c r="I869" s="76"/>
      <c r="J869" s="76"/>
      <c r="K869" s="76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spans="1:26" ht="15.75" customHeight="1" x14ac:dyDescent="0.25">
      <c r="A870" s="62"/>
      <c r="B870" s="62"/>
      <c r="C870" s="76"/>
      <c r="D870" s="77"/>
      <c r="E870" s="62"/>
      <c r="F870" s="62"/>
      <c r="G870" s="76"/>
      <c r="H870" s="76"/>
      <c r="I870" s="76"/>
      <c r="J870" s="76"/>
      <c r="K870" s="76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spans="1:26" ht="15.75" customHeight="1" x14ac:dyDescent="0.25">
      <c r="A871" s="62"/>
      <c r="B871" s="62"/>
      <c r="C871" s="76"/>
      <c r="D871" s="77"/>
      <c r="E871" s="62"/>
      <c r="F871" s="62"/>
      <c r="G871" s="76"/>
      <c r="H871" s="76"/>
      <c r="I871" s="76"/>
      <c r="J871" s="76"/>
      <c r="K871" s="76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spans="1:26" ht="15.75" customHeight="1" x14ac:dyDescent="0.25">
      <c r="A872" s="62"/>
      <c r="B872" s="62"/>
      <c r="C872" s="76"/>
      <c r="D872" s="77"/>
      <c r="E872" s="62"/>
      <c r="F872" s="62"/>
      <c r="G872" s="76"/>
      <c r="H872" s="76"/>
      <c r="I872" s="76"/>
      <c r="J872" s="76"/>
      <c r="K872" s="76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spans="1:26" ht="15.75" customHeight="1" x14ac:dyDescent="0.25">
      <c r="A873" s="62"/>
      <c r="B873" s="62"/>
      <c r="C873" s="76"/>
      <c r="D873" s="77"/>
      <c r="E873" s="62"/>
      <c r="F873" s="62"/>
      <c r="G873" s="76"/>
      <c r="H873" s="76"/>
      <c r="I873" s="76"/>
      <c r="J873" s="76"/>
      <c r="K873" s="76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spans="1:26" ht="15.75" customHeight="1" x14ac:dyDescent="0.25">
      <c r="A874" s="62"/>
      <c r="B874" s="62"/>
      <c r="C874" s="76"/>
      <c r="D874" s="77"/>
      <c r="E874" s="62"/>
      <c r="F874" s="62"/>
      <c r="G874" s="76"/>
      <c r="H874" s="76"/>
      <c r="I874" s="76"/>
      <c r="J874" s="76"/>
      <c r="K874" s="76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spans="1:26" ht="15.75" customHeight="1" x14ac:dyDescent="0.25">
      <c r="A875" s="62"/>
      <c r="B875" s="62"/>
      <c r="C875" s="76"/>
      <c r="D875" s="77"/>
      <c r="E875" s="62"/>
      <c r="F875" s="62"/>
      <c r="G875" s="76"/>
      <c r="H875" s="76"/>
      <c r="I875" s="76"/>
      <c r="J875" s="76"/>
      <c r="K875" s="76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spans="1:26" ht="15.75" customHeight="1" x14ac:dyDescent="0.25">
      <c r="A876" s="62"/>
      <c r="B876" s="62"/>
      <c r="C876" s="76"/>
      <c r="D876" s="77"/>
      <c r="E876" s="62"/>
      <c r="F876" s="62"/>
      <c r="G876" s="76"/>
      <c r="H876" s="76"/>
      <c r="I876" s="76"/>
      <c r="J876" s="76"/>
      <c r="K876" s="76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spans="1:26" ht="15.75" customHeight="1" x14ac:dyDescent="0.25">
      <c r="A877" s="62"/>
      <c r="B877" s="62"/>
      <c r="C877" s="76"/>
      <c r="D877" s="77"/>
      <c r="E877" s="62"/>
      <c r="F877" s="62"/>
      <c r="G877" s="76"/>
      <c r="H877" s="76"/>
      <c r="I877" s="76"/>
      <c r="J877" s="76"/>
      <c r="K877" s="76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spans="1:26" ht="15.75" customHeight="1" x14ac:dyDescent="0.25">
      <c r="A878" s="62"/>
      <c r="B878" s="62"/>
      <c r="C878" s="76"/>
      <c r="D878" s="77"/>
      <c r="E878" s="62"/>
      <c r="F878" s="62"/>
      <c r="G878" s="76"/>
      <c r="H878" s="76"/>
      <c r="I878" s="76"/>
      <c r="J878" s="76"/>
      <c r="K878" s="76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spans="1:26" ht="15.75" customHeight="1" x14ac:dyDescent="0.25">
      <c r="A879" s="62"/>
      <c r="B879" s="62"/>
      <c r="C879" s="76"/>
      <c r="D879" s="77"/>
      <c r="E879" s="62"/>
      <c r="F879" s="62"/>
      <c r="G879" s="76"/>
      <c r="H879" s="76"/>
      <c r="I879" s="76"/>
      <c r="J879" s="76"/>
      <c r="K879" s="76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spans="1:26" ht="15.75" customHeight="1" x14ac:dyDescent="0.25">
      <c r="A880" s="62"/>
      <c r="B880" s="62"/>
      <c r="C880" s="76"/>
      <c r="D880" s="77"/>
      <c r="E880" s="62"/>
      <c r="F880" s="62"/>
      <c r="G880" s="76"/>
      <c r="H880" s="76"/>
      <c r="I880" s="76"/>
      <c r="J880" s="76"/>
      <c r="K880" s="76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spans="1:26" ht="15.75" customHeight="1" x14ac:dyDescent="0.25">
      <c r="A881" s="62"/>
      <c r="B881" s="62"/>
      <c r="C881" s="76"/>
      <c r="D881" s="77"/>
      <c r="E881" s="62"/>
      <c r="F881" s="62"/>
      <c r="G881" s="76"/>
      <c r="H881" s="76"/>
      <c r="I881" s="76"/>
      <c r="J881" s="76"/>
      <c r="K881" s="76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spans="1:26" ht="15.75" customHeight="1" x14ac:dyDescent="0.25">
      <c r="A882" s="62"/>
      <c r="B882" s="62"/>
      <c r="C882" s="76"/>
      <c r="D882" s="77"/>
      <c r="E882" s="62"/>
      <c r="F882" s="62"/>
      <c r="G882" s="76"/>
      <c r="H882" s="76"/>
      <c r="I882" s="76"/>
      <c r="J882" s="76"/>
      <c r="K882" s="76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spans="1:26" ht="15.75" customHeight="1" x14ac:dyDescent="0.25">
      <c r="A883" s="62"/>
      <c r="B883" s="62"/>
      <c r="C883" s="76"/>
      <c r="D883" s="77"/>
      <c r="E883" s="62"/>
      <c r="F883" s="62"/>
      <c r="G883" s="76"/>
      <c r="H883" s="76"/>
      <c r="I883" s="76"/>
      <c r="J883" s="76"/>
      <c r="K883" s="76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spans="1:26" ht="15.75" customHeight="1" x14ac:dyDescent="0.25">
      <c r="A884" s="62"/>
      <c r="B884" s="62"/>
      <c r="C884" s="76"/>
      <c r="D884" s="77"/>
      <c r="E884" s="62"/>
      <c r="F884" s="62"/>
      <c r="G884" s="76"/>
      <c r="H884" s="76"/>
      <c r="I884" s="76"/>
      <c r="J884" s="76"/>
      <c r="K884" s="76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spans="1:26" ht="15.75" customHeight="1" x14ac:dyDescent="0.25">
      <c r="A885" s="62"/>
      <c r="B885" s="62"/>
      <c r="C885" s="76"/>
      <c r="D885" s="77"/>
      <c r="E885" s="62"/>
      <c r="F885" s="62"/>
      <c r="G885" s="76"/>
      <c r="H885" s="76"/>
      <c r="I885" s="76"/>
      <c r="J885" s="76"/>
      <c r="K885" s="76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spans="1:26" ht="15.75" customHeight="1" x14ac:dyDescent="0.25">
      <c r="A886" s="62"/>
      <c r="B886" s="62"/>
      <c r="C886" s="76"/>
      <c r="D886" s="77"/>
      <c r="E886" s="62"/>
      <c r="F886" s="62"/>
      <c r="G886" s="76"/>
      <c r="H886" s="76"/>
      <c r="I886" s="76"/>
      <c r="J886" s="76"/>
      <c r="K886" s="76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spans="1:26" ht="15.75" customHeight="1" x14ac:dyDescent="0.25">
      <c r="A887" s="62"/>
      <c r="B887" s="62"/>
      <c r="C887" s="76"/>
      <c r="D887" s="77"/>
      <c r="E887" s="62"/>
      <c r="F887" s="62"/>
      <c r="G887" s="76"/>
      <c r="H887" s="76"/>
      <c r="I887" s="76"/>
      <c r="J887" s="76"/>
      <c r="K887" s="76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spans="1:26" ht="15.75" customHeight="1" x14ac:dyDescent="0.25">
      <c r="A888" s="62"/>
      <c r="B888" s="62"/>
      <c r="C888" s="76"/>
      <c r="D888" s="77"/>
      <c r="E888" s="62"/>
      <c r="F888" s="62"/>
      <c r="G888" s="76"/>
      <c r="H888" s="76"/>
      <c r="I888" s="76"/>
      <c r="J888" s="76"/>
      <c r="K888" s="76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spans="1:26" ht="15.75" customHeight="1" x14ac:dyDescent="0.25">
      <c r="A889" s="62"/>
      <c r="B889" s="62"/>
      <c r="C889" s="76"/>
      <c r="D889" s="77"/>
      <c r="E889" s="62"/>
      <c r="F889" s="62"/>
      <c r="G889" s="76"/>
      <c r="H889" s="76"/>
      <c r="I889" s="76"/>
      <c r="J889" s="76"/>
      <c r="K889" s="76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spans="1:26" ht="15.75" customHeight="1" x14ac:dyDescent="0.25">
      <c r="A890" s="62"/>
      <c r="B890" s="62"/>
      <c r="C890" s="76"/>
      <c r="D890" s="77"/>
      <c r="E890" s="62"/>
      <c r="F890" s="62"/>
      <c r="G890" s="76"/>
      <c r="H890" s="76"/>
      <c r="I890" s="76"/>
      <c r="J890" s="76"/>
      <c r="K890" s="76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spans="1:26" ht="15.75" customHeight="1" x14ac:dyDescent="0.25">
      <c r="A891" s="62"/>
      <c r="B891" s="62"/>
      <c r="C891" s="76"/>
      <c r="D891" s="77"/>
      <c r="E891" s="62"/>
      <c r="F891" s="62"/>
      <c r="G891" s="76"/>
      <c r="H891" s="76"/>
      <c r="I891" s="76"/>
      <c r="J891" s="76"/>
      <c r="K891" s="76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spans="1:26" ht="15.75" customHeight="1" x14ac:dyDescent="0.25">
      <c r="A892" s="62"/>
      <c r="B892" s="62"/>
      <c r="C892" s="76"/>
      <c r="D892" s="77"/>
      <c r="E892" s="62"/>
      <c r="F892" s="62"/>
      <c r="G892" s="76"/>
      <c r="H892" s="76"/>
      <c r="I892" s="76"/>
      <c r="J892" s="76"/>
      <c r="K892" s="76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spans="1:26" ht="15.75" customHeight="1" x14ac:dyDescent="0.25">
      <c r="A893" s="62"/>
      <c r="B893" s="62"/>
      <c r="C893" s="76"/>
      <c r="D893" s="77"/>
      <c r="E893" s="62"/>
      <c r="F893" s="62"/>
      <c r="G893" s="76"/>
      <c r="H893" s="76"/>
      <c r="I893" s="76"/>
      <c r="J893" s="76"/>
      <c r="K893" s="76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spans="1:26" ht="15.75" customHeight="1" x14ac:dyDescent="0.25">
      <c r="A894" s="62"/>
      <c r="B894" s="62"/>
      <c r="C894" s="76"/>
      <c r="D894" s="77"/>
      <c r="E894" s="62"/>
      <c r="F894" s="62"/>
      <c r="G894" s="76"/>
      <c r="H894" s="76"/>
      <c r="I894" s="76"/>
      <c r="J894" s="76"/>
      <c r="K894" s="76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spans="1:26" ht="15.75" customHeight="1" x14ac:dyDescent="0.25">
      <c r="A895" s="62"/>
      <c r="B895" s="62"/>
      <c r="C895" s="76"/>
      <c r="D895" s="77"/>
      <c r="E895" s="62"/>
      <c r="F895" s="62"/>
      <c r="G895" s="76"/>
      <c r="H895" s="76"/>
      <c r="I895" s="76"/>
      <c r="J895" s="76"/>
      <c r="K895" s="76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spans="1:26" ht="15.75" customHeight="1" x14ac:dyDescent="0.25">
      <c r="A896" s="62"/>
      <c r="B896" s="62"/>
      <c r="C896" s="76"/>
      <c r="D896" s="77"/>
      <c r="E896" s="62"/>
      <c r="F896" s="62"/>
      <c r="G896" s="76"/>
      <c r="H896" s="76"/>
      <c r="I896" s="76"/>
      <c r="J896" s="76"/>
      <c r="K896" s="76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spans="1:26" ht="15.75" customHeight="1" x14ac:dyDescent="0.25">
      <c r="A897" s="62"/>
      <c r="B897" s="62"/>
      <c r="C897" s="76"/>
      <c r="D897" s="77"/>
      <c r="E897" s="62"/>
      <c r="F897" s="62"/>
      <c r="G897" s="76"/>
      <c r="H897" s="76"/>
      <c r="I897" s="76"/>
      <c r="J897" s="76"/>
      <c r="K897" s="76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spans="1:26" ht="15.75" customHeight="1" x14ac:dyDescent="0.25">
      <c r="A898" s="62"/>
      <c r="B898" s="62"/>
      <c r="C898" s="76"/>
      <c r="D898" s="77"/>
      <c r="E898" s="62"/>
      <c r="F898" s="62"/>
      <c r="G898" s="76"/>
      <c r="H898" s="76"/>
      <c r="I898" s="76"/>
      <c r="J898" s="76"/>
      <c r="K898" s="76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spans="1:26" ht="15.75" customHeight="1" x14ac:dyDescent="0.25">
      <c r="A899" s="62"/>
      <c r="B899" s="62"/>
      <c r="C899" s="76"/>
      <c r="D899" s="77"/>
      <c r="E899" s="62"/>
      <c r="F899" s="62"/>
      <c r="G899" s="76"/>
      <c r="H899" s="76"/>
      <c r="I899" s="76"/>
      <c r="J899" s="76"/>
      <c r="K899" s="76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spans="1:26" ht="15.75" customHeight="1" x14ac:dyDescent="0.25">
      <c r="A900" s="62"/>
      <c r="B900" s="62"/>
      <c r="C900" s="76"/>
      <c r="D900" s="77"/>
      <c r="E900" s="62"/>
      <c r="F900" s="62"/>
      <c r="G900" s="76"/>
      <c r="H900" s="76"/>
      <c r="I900" s="76"/>
      <c r="J900" s="76"/>
      <c r="K900" s="76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spans="1:26" ht="15.75" customHeight="1" x14ac:dyDescent="0.25">
      <c r="A901" s="62"/>
      <c r="B901" s="62"/>
      <c r="C901" s="76"/>
      <c r="D901" s="77"/>
      <c r="E901" s="62"/>
      <c r="F901" s="62"/>
      <c r="G901" s="76"/>
      <c r="H901" s="76"/>
      <c r="I901" s="76"/>
      <c r="J901" s="76"/>
      <c r="K901" s="76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spans="1:26" ht="15.75" customHeight="1" x14ac:dyDescent="0.25">
      <c r="A902" s="62"/>
      <c r="B902" s="62"/>
      <c r="C902" s="76"/>
      <c r="D902" s="77"/>
      <c r="E902" s="62"/>
      <c r="F902" s="62"/>
      <c r="G902" s="76"/>
      <c r="H902" s="76"/>
      <c r="I902" s="76"/>
      <c r="J902" s="76"/>
      <c r="K902" s="76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spans="1:26" ht="15.75" customHeight="1" x14ac:dyDescent="0.25">
      <c r="A903" s="62"/>
      <c r="B903" s="62"/>
      <c r="C903" s="76"/>
      <c r="D903" s="77"/>
      <c r="E903" s="62"/>
      <c r="F903" s="62"/>
      <c r="G903" s="76"/>
      <c r="H903" s="76"/>
      <c r="I903" s="76"/>
      <c r="J903" s="76"/>
      <c r="K903" s="76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spans="1:26" ht="15.75" customHeight="1" x14ac:dyDescent="0.25">
      <c r="A904" s="62"/>
      <c r="B904" s="62"/>
      <c r="C904" s="76"/>
      <c r="D904" s="77"/>
      <c r="E904" s="62"/>
      <c r="F904" s="62"/>
      <c r="G904" s="76"/>
      <c r="H904" s="76"/>
      <c r="I904" s="76"/>
      <c r="J904" s="76"/>
      <c r="K904" s="76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spans="1:26" ht="15.75" customHeight="1" x14ac:dyDescent="0.25">
      <c r="A905" s="62"/>
      <c r="B905" s="62"/>
      <c r="C905" s="76"/>
      <c r="D905" s="77"/>
      <c r="E905" s="62"/>
      <c r="F905" s="62"/>
      <c r="G905" s="76"/>
      <c r="H905" s="76"/>
      <c r="I905" s="76"/>
      <c r="J905" s="76"/>
      <c r="K905" s="76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spans="1:26" ht="15.75" customHeight="1" x14ac:dyDescent="0.25">
      <c r="A906" s="62"/>
      <c r="B906" s="62"/>
      <c r="C906" s="76"/>
      <c r="D906" s="77"/>
      <c r="E906" s="62"/>
      <c r="F906" s="62"/>
      <c r="G906" s="76"/>
      <c r="H906" s="76"/>
      <c r="I906" s="76"/>
      <c r="J906" s="76"/>
      <c r="K906" s="76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spans="1:26" ht="15.75" customHeight="1" x14ac:dyDescent="0.25">
      <c r="A907" s="62"/>
      <c r="B907" s="62"/>
      <c r="C907" s="76"/>
      <c r="D907" s="77"/>
      <c r="E907" s="62"/>
      <c r="F907" s="62"/>
      <c r="G907" s="76"/>
      <c r="H907" s="76"/>
      <c r="I907" s="76"/>
      <c r="J907" s="76"/>
      <c r="K907" s="76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spans="1:26" ht="15.75" customHeight="1" x14ac:dyDescent="0.25">
      <c r="A908" s="62"/>
      <c r="B908" s="62"/>
      <c r="C908" s="76"/>
      <c r="D908" s="77"/>
      <c r="E908" s="62"/>
      <c r="F908" s="62"/>
      <c r="G908" s="76"/>
      <c r="H908" s="76"/>
      <c r="I908" s="76"/>
      <c r="J908" s="76"/>
      <c r="K908" s="76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spans="1:26" ht="15.75" customHeight="1" x14ac:dyDescent="0.25">
      <c r="A909" s="62"/>
      <c r="B909" s="62"/>
      <c r="C909" s="76"/>
      <c r="D909" s="77"/>
      <c r="E909" s="62"/>
      <c r="F909" s="62"/>
      <c r="G909" s="76"/>
      <c r="H909" s="76"/>
      <c r="I909" s="76"/>
      <c r="J909" s="76"/>
      <c r="K909" s="76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spans="1:26" ht="15.75" customHeight="1" x14ac:dyDescent="0.25">
      <c r="A910" s="62"/>
      <c r="B910" s="62"/>
      <c r="C910" s="76"/>
      <c r="D910" s="77"/>
      <c r="E910" s="62"/>
      <c r="F910" s="62"/>
      <c r="G910" s="76"/>
      <c r="H910" s="76"/>
      <c r="I910" s="76"/>
      <c r="J910" s="76"/>
      <c r="K910" s="76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spans="1:26" ht="15.75" customHeight="1" x14ac:dyDescent="0.25">
      <c r="A911" s="62"/>
      <c r="B911" s="62"/>
      <c r="C911" s="76"/>
      <c r="D911" s="77"/>
      <c r="E911" s="62"/>
      <c r="F911" s="62"/>
      <c r="G911" s="76"/>
      <c r="H911" s="76"/>
      <c r="I911" s="76"/>
      <c r="J911" s="76"/>
      <c r="K911" s="76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spans="1:26" ht="15.75" customHeight="1" x14ac:dyDescent="0.25">
      <c r="A912" s="62"/>
      <c r="B912" s="62"/>
      <c r="C912" s="76"/>
      <c r="D912" s="77"/>
      <c r="E912" s="62"/>
      <c r="F912" s="62"/>
      <c r="G912" s="76"/>
      <c r="H912" s="76"/>
      <c r="I912" s="76"/>
      <c r="J912" s="76"/>
      <c r="K912" s="76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spans="1:26" ht="15.75" customHeight="1" x14ac:dyDescent="0.25">
      <c r="A913" s="62"/>
      <c r="B913" s="62"/>
      <c r="C913" s="76"/>
      <c r="D913" s="77"/>
      <c r="E913" s="62"/>
      <c r="F913" s="62"/>
      <c r="G913" s="76"/>
      <c r="H913" s="76"/>
      <c r="I913" s="76"/>
      <c r="J913" s="76"/>
      <c r="K913" s="76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spans="1:26" ht="15.75" customHeight="1" x14ac:dyDescent="0.25">
      <c r="A914" s="62"/>
      <c r="B914" s="62"/>
      <c r="C914" s="76"/>
      <c r="D914" s="77"/>
      <c r="E914" s="62"/>
      <c r="F914" s="62"/>
      <c r="G914" s="76"/>
      <c r="H914" s="76"/>
      <c r="I914" s="76"/>
      <c r="J914" s="76"/>
      <c r="K914" s="76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spans="1:26" ht="15.75" customHeight="1" x14ac:dyDescent="0.25">
      <c r="A915" s="62"/>
      <c r="B915" s="62"/>
      <c r="C915" s="76"/>
      <c r="D915" s="77"/>
      <c r="E915" s="62"/>
      <c r="F915" s="62"/>
      <c r="G915" s="76"/>
      <c r="H915" s="76"/>
      <c r="I915" s="76"/>
      <c r="J915" s="76"/>
      <c r="K915" s="76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spans="1:26" ht="15.75" customHeight="1" x14ac:dyDescent="0.25">
      <c r="A916" s="62"/>
      <c r="B916" s="62"/>
      <c r="C916" s="76"/>
      <c r="D916" s="77"/>
      <c r="E916" s="62"/>
      <c r="F916" s="62"/>
      <c r="G916" s="76"/>
      <c r="H916" s="76"/>
      <c r="I916" s="76"/>
      <c r="J916" s="76"/>
      <c r="K916" s="76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spans="1:26" ht="15.75" customHeight="1" x14ac:dyDescent="0.25">
      <c r="A917" s="62"/>
      <c r="B917" s="62"/>
      <c r="C917" s="76"/>
      <c r="D917" s="77"/>
      <c r="E917" s="62"/>
      <c r="F917" s="62"/>
      <c r="G917" s="76"/>
      <c r="H917" s="76"/>
      <c r="I917" s="76"/>
      <c r="J917" s="76"/>
      <c r="K917" s="76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spans="1:26" ht="15.75" customHeight="1" x14ac:dyDescent="0.25">
      <c r="A918" s="62"/>
      <c r="B918" s="62"/>
      <c r="C918" s="76"/>
      <c r="D918" s="77"/>
      <c r="E918" s="62"/>
      <c r="F918" s="62"/>
      <c r="G918" s="76"/>
      <c r="H918" s="76"/>
      <c r="I918" s="76"/>
      <c r="J918" s="76"/>
      <c r="K918" s="76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spans="1:26" ht="15.75" customHeight="1" x14ac:dyDescent="0.25">
      <c r="A919" s="62"/>
      <c r="B919" s="62"/>
      <c r="C919" s="76"/>
      <c r="D919" s="77"/>
      <c r="E919" s="62"/>
      <c r="F919" s="62"/>
      <c r="G919" s="76"/>
      <c r="H919" s="76"/>
      <c r="I919" s="76"/>
      <c r="J919" s="76"/>
      <c r="K919" s="76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spans="1:26" ht="15.75" customHeight="1" x14ac:dyDescent="0.25">
      <c r="A920" s="62"/>
      <c r="B920" s="62"/>
      <c r="C920" s="76"/>
      <c r="D920" s="77"/>
      <c r="E920" s="62"/>
      <c r="F920" s="62"/>
      <c r="G920" s="76"/>
      <c r="H920" s="76"/>
      <c r="I920" s="76"/>
      <c r="J920" s="76"/>
      <c r="K920" s="76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spans="1:26" ht="15.75" customHeight="1" x14ac:dyDescent="0.25">
      <c r="A921" s="62"/>
      <c r="B921" s="62"/>
      <c r="C921" s="76"/>
      <c r="D921" s="77"/>
      <c r="E921" s="62"/>
      <c r="F921" s="62"/>
      <c r="G921" s="76"/>
      <c r="H921" s="76"/>
      <c r="I921" s="76"/>
      <c r="J921" s="76"/>
      <c r="K921" s="76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spans="1:26" ht="15.75" customHeight="1" x14ac:dyDescent="0.25">
      <c r="A922" s="62"/>
      <c r="B922" s="62"/>
      <c r="C922" s="76"/>
      <c r="D922" s="77"/>
      <c r="E922" s="62"/>
      <c r="F922" s="62"/>
      <c r="G922" s="76"/>
      <c r="H922" s="76"/>
      <c r="I922" s="76"/>
      <c r="J922" s="76"/>
      <c r="K922" s="76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spans="1:26" ht="15.75" customHeight="1" x14ac:dyDescent="0.25">
      <c r="A923" s="62"/>
      <c r="B923" s="62"/>
      <c r="C923" s="76"/>
      <c r="D923" s="77"/>
      <c r="E923" s="62"/>
      <c r="F923" s="62"/>
      <c r="G923" s="76"/>
      <c r="H923" s="76"/>
      <c r="I923" s="76"/>
      <c r="J923" s="76"/>
      <c r="K923" s="76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spans="1:26" ht="15.75" customHeight="1" x14ac:dyDescent="0.25">
      <c r="A924" s="62"/>
      <c r="B924" s="62"/>
      <c r="C924" s="76"/>
      <c r="D924" s="77"/>
      <c r="E924" s="62"/>
      <c r="F924" s="62"/>
      <c r="G924" s="76"/>
      <c r="H924" s="76"/>
      <c r="I924" s="76"/>
      <c r="J924" s="76"/>
      <c r="K924" s="76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spans="1:26" ht="15.75" customHeight="1" x14ac:dyDescent="0.25">
      <c r="A925" s="62"/>
      <c r="B925" s="62"/>
      <c r="C925" s="76"/>
      <c r="D925" s="77"/>
      <c r="E925" s="62"/>
      <c r="F925" s="62"/>
      <c r="G925" s="76"/>
      <c r="H925" s="76"/>
      <c r="I925" s="76"/>
      <c r="J925" s="76"/>
      <c r="K925" s="76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spans="1:26" ht="15.75" customHeight="1" x14ac:dyDescent="0.25">
      <c r="A926" s="62"/>
      <c r="B926" s="62"/>
      <c r="C926" s="76"/>
      <c r="D926" s="77"/>
      <c r="E926" s="62"/>
      <c r="F926" s="62"/>
      <c r="G926" s="76"/>
      <c r="H926" s="76"/>
      <c r="I926" s="76"/>
      <c r="J926" s="76"/>
      <c r="K926" s="76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spans="1:26" ht="15.75" customHeight="1" x14ac:dyDescent="0.25">
      <c r="A927" s="62"/>
      <c r="B927" s="62"/>
      <c r="C927" s="76"/>
      <c r="D927" s="77"/>
      <c r="E927" s="62"/>
      <c r="F927" s="62"/>
      <c r="G927" s="76"/>
      <c r="H927" s="76"/>
      <c r="I927" s="76"/>
      <c r="J927" s="76"/>
      <c r="K927" s="76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spans="1:26" ht="15.75" customHeight="1" x14ac:dyDescent="0.25">
      <c r="A928" s="62"/>
      <c r="B928" s="62"/>
      <c r="C928" s="76"/>
      <c r="D928" s="77"/>
      <c r="E928" s="62"/>
      <c r="F928" s="62"/>
      <c r="G928" s="76"/>
      <c r="H928" s="76"/>
      <c r="I928" s="76"/>
      <c r="J928" s="76"/>
      <c r="K928" s="76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spans="1:26" ht="15.75" customHeight="1" x14ac:dyDescent="0.25">
      <c r="A929" s="62"/>
      <c r="B929" s="62"/>
      <c r="C929" s="76"/>
      <c r="D929" s="77"/>
      <c r="E929" s="62"/>
      <c r="F929" s="62"/>
      <c r="G929" s="76"/>
      <c r="H929" s="76"/>
      <c r="I929" s="76"/>
      <c r="J929" s="76"/>
      <c r="K929" s="76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spans="1:26" ht="15.75" customHeight="1" x14ac:dyDescent="0.25">
      <c r="A930" s="62"/>
      <c r="B930" s="62"/>
      <c r="C930" s="76"/>
      <c r="D930" s="77"/>
      <c r="E930" s="62"/>
      <c r="F930" s="62"/>
      <c r="G930" s="76"/>
      <c r="H930" s="76"/>
      <c r="I930" s="76"/>
      <c r="J930" s="76"/>
      <c r="K930" s="76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spans="1:26" ht="15.75" customHeight="1" x14ac:dyDescent="0.25">
      <c r="A931" s="62"/>
      <c r="B931" s="62"/>
      <c r="C931" s="76"/>
      <c r="D931" s="77"/>
      <c r="E931" s="62"/>
      <c r="F931" s="62"/>
      <c r="G931" s="76"/>
      <c r="H931" s="76"/>
      <c r="I931" s="76"/>
      <c r="J931" s="76"/>
      <c r="K931" s="76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spans="1:26" ht="15.75" customHeight="1" x14ac:dyDescent="0.25">
      <c r="A932" s="62"/>
      <c r="B932" s="62"/>
      <c r="C932" s="76"/>
      <c r="D932" s="77"/>
      <c r="E932" s="62"/>
      <c r="F932" s="62"/>
      <c r="G932" s="76"/>
      <c r="H932" s="76"/>
      <c r="I932" s="76"/>
      <c r="J932" s="76"/>
      <c r="K932" s="76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spans="1:26" ht="15.75" customHeight="1" x14ac:dyDescent="0.25">
      <c r="A933" s="62"/>
      <c r="B933" s="62"/>
      <c r="C933" s="76"/>
      <c r="D933" s="77"/>
      <c r="E933" s="62"/>
      <c r="F933" s="62"/>
      <c r="G933" s="76"/>
      <c r="H933" s="76"/>
      <c r="I933" s="76"/>
      <c r="J933" s="76"/>
      <c r="K933" s="76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spans="1:26" ht="15.75" customHeight="1" x14ac:dyDescent="0.25">
      <c r="A934" s="62"/>
      <c r="B934" s="62"/>
      <c r="C934" s="76"/>
      <c r="D934" s="77"/>
      <c r="E934" s="62"/>
      <c r="F934" s="62"/>
      <c r="G934" s="76"/>
      <c r="H934" s="76"/>
      <c r="I934" s="76"/>
      <c r="J934" s="76"/>
      <c r="K934" s="76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spans="1:26" ht="15.75" customHeight="1" x14ac:dyDescent="0.25">
      <c r="A935" s="62"/>
      <c r="B935" s="62"/>
      <c r="C935" s="76"/>
      <c r="D935" s="77"/>
      <c r="E935" s="62"/>
      <c r="F935" s="62"/>
      <c r="G935" s="76"/>
      <c r="H935" s="76"/>
      <c r="I935" s="76"/>
      <c r="J935" s="76"/>
      <c r="K935" s="76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spans="1:26" ht="15.75" customHeight="1" x14ac:dyDescent="0.25">
      <c r="A936" s="62"/>
      <c r="B936" s="62"/>
      <c r="C936" s="76"/>
      <c r="D936" s="77"/>
      <c r="E936" s="62"/>
      <c r="F936" s="62"/>
      <c r="G936" s="76"/>
      <c r="H936" s="76"/>
      <c r="I936" s="76"/>
      <c r="J936" s="76"/>
      <c r="K936" s="76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spans="1:26" ht="15.75" customHeight="1" x14ac:dyDescent="0.25">
      <c r="A937" s="62"/>
      <c r="B937" s="62"/>
      <c r="C937" s="76"/>
      <c r="D937" s="77"/>
      <c r="E937" s="62"/>
      <c r="F937" s="62"/>
      <c r="G937" s="76"/>
      <c r="H937" s="76"/>
      <c r="I937" s="76"/>
      <c r="J937" s="76"/>
      <c r="K937" s="76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spans="1:26" ht="15.75" customHeight="1" x14ac:dyDescent="0.25">
      <c r="A938" s="62"/>
      <c r="B938" s="62"/>
      <c r="C938" s="76"/>
      <c r="D938" s="77"/>
      <c r="E938" s="62"/>
      <c r="F938" s="62"/>
      <c r="G938" s="76"/>
      <c r="H938" s="76"/>
      <c r="I938" s="76"/>
      <c r="J938" s="76"/>
      <c r="K938" s="76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spans="1:26" ht="15.75" customHeight="1" x14ac:dyDescent="0.25">
      <c r="A939" s="62"/>
      <c r="B939" s="62"/>
      <c r="C939" s="76"/>
      <c r="D939" s="77"/>
      <c r="E939" s="62"/>
      <c r="F939" s="62"/>
      <c r="G939" s="76"/>
      <c r="H939" s="76"/>
      <c r="I939" s="76"/>
      <c r="J939" s="76"/>
      <c r="K939" s="76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spans="1:26" ht="15.75" customHeight="1" x14ac:dyDescent="0.25">
      <c r="A940" s="62"/>
      <c r="B940" s="62"/>
      <c r="C940" s="76"/>
      <c r="D940" s="77"/>
      <c r="E940" s="62"/>
      <c r="F940" s="62"/>
      <c r="G940" s="76"/>
      <c r="H940" s="76"/>
      <c r="I940" s="76"/>
      <c r="J940" s="76"/>
      <c r="K940" s="76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spans="1:26" ht="15.75" customHeight="1" x14ac:dyDescent="0.25">
      <c r="A941" s="62"/>
      <c r="B941" s="62"/>
      <c r="C941" s="76"/>
      <c r="D941" s="77"/>
      <c r="E941" s="62"/>
      <c r="F941" s="62"/>
      <c r="G941" s="76"/>
      <c r="H941" s="76"/>
      <c r="I941" s="76"/>
      <c r="J941" s="76"/>
      <c r="K941" s="76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spans="1:26" ht="15.75" customHeight="1" x14ac:dyDescent="0.25">
      <c r="A942" s="62"/>
      <c r="B942" s="62"/>
      <c r="C942" s="76"/>
      <c r="D942" s="77"/>
      <c r="E942" s="62"/>
      <c r="F942" s="62"/>
      <c r="G942" s="76"/>
      <c r="H942" s="76"/>
      <c r="I942" s="76"/>
      <c r="J942" s="76"/>
      <c r="K942" s="76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spans="1:26" ht="15.75" customHeight="1" x14ac:dyDescent="0.25">
      <c r="A943" s="62"/>
      <c r="B943" s="62"/>
      <c r="C943" s="76"/>
      <c r="D943" s="77"/>
      <c r="E943" s="62"/>
      <c r="F943" s="62"/>
      <c r="G943" s="76"/>
      <c r="H943" s="76"/>
      <c r="I943" s="76"/>
      <c r="J943" s="76"/>
      <c r="K943" s="76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spans="1:26" ht="15.75" customHeight="1" x14ac:dyDescent="0.25">
      <c r="A944" s="62"/>
      <c r="B944" s="62"/>
      <c r="C944" s="76"/>
      <c r="D944" s="77"/>
      <c r="E944" s="62"/>
      <c r="F944" s="62"/>
      <c r="G944" s="76"/>
      <c r="H944" s="76"/>
      <c r="I944" s="76"/>
      <c r="J944" s="76"/>
      <c r="K944" s="76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spans="1:26" ht="15.75" customHeight="1" x14ac:dyDescent="0.25">
      <c r="A945" s="62"/>
      <c r="B945" s="62"/>
      <c r="C945" s="76"/>
      <c r="D945" s="77"/>
      <c r="E945" s="62"/>
      <c r="F945" s="62"/>
      <c r="G945" s="76"/>
      <c r="H945" s="76"/>
      <c r="I945" s="76"/>
      <c r="J945" s="76"/>
      <c r="K945" s="76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spans="1:26" ht="15.75" customHeight="1" x14ac:dyDescent="0.25">
      <c r="A946" s="62"/>
      <c r="B946" s="62"/>
      <c r="C946" s="76"/>
      <c r="D946" s="77"/>
      <c r="E946" s="62"/>
      <c r="F946" s="62"/>
      <c r="G946" s="76"/>
      <c r="H946" s="76"/>
      <c r="I946" s="76"/>
      <c r="J946" s="76"/>
      <c r="K946" s="76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spans="1:26" ht="15.75" customHeight="1" x14ac:dyDescent="0.25">
      <c r="A947" s="62"/>
      <c r="B947" s="62"/>
      <c r="C947" s="76"/>
      <c r="D947" s="77"/>
      <c r="E947" s="62"/>
      <c r="F947" s="62"/>
      <c r="G947" s="76"/>
      <c r="H947" s="76"/>
      <c r="I947" s="76"/>
      <c r="J947" s="76"/>
      <c r="K947" s="76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spans="1:26" ht="15.75" customHeight="1" x14ac:dyDescent="0.25">
      <c r="A948" s="62"/>
      <c r="B948" s="62"/>
      <c r="C948" s="76"/>
      <c r="D948" s="77"/>
      <c r="E948" s="62"/>
      <c r="F948" s="62"/>
      <c r="G948" s="76"/>
      <c r="H948" s="76"/>
      <c r="I948" s="76"/>
      <c r="J948" s="76"/>
      <c r="K948" s="76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spans="1:26" ht="15.75" customHeight="1" x14ac:dyDescent="0.25">
      <c r="A949" s="62"/>
      <c r="B949" s="62"/>
      <c r="C949" s="76"/>
      <c r="D949" s="77"/>
      <c r="E949" s="62"/>
      <c r="F949" s="62"/>
      <c r="G949" s="76"/>
      <c r="H949" s="76"/>
      <c r="I949" s="76"/>
      <c r="J949" s="76"/>
      <c r="K949" s="76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spans="1:26" ht="15.75" customHeight="1" x14ac:dyDescent="0.25">
      <c r="A950" s="62"/>
      <c r="B950" s="62"/>
      <c r="C950" s="76"/>
      <c r="D950" s="77"/>
      <c r="E950" s="62"/>
      <c r="F950" s="62"/>
      <c r="G950" s="76"/>
      <c r="H950" s="76"/>
      <c r="I950" s="76"/>
      <c r="J950" s="76"/>
      <c r="K950" s="76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spans="1:26" ht="15.75" customHeight="1" x14ac:dyDescent="0.25">
      <c r="A951" s="62"/>
      <c r="B951" s="62"/>
      <c r="C951" s="76"/>
      <c r="D951" s="77"/>
      <c r="E951" s="62"/>
      <c r="F951" s="62"/>
      <c r="G951" s="76"/>
      <c r="H951" s="76"/>
      <c r="I951" s="76"/>
      <c r="J951" s="76"/>
      <c r="K951" s="76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spans="1:26" ht="15.75" customHeight="1" x14ac:dyDescent="0.25">
      <c r="A952" s="62"/>
      <c r="B952" s="62"/>
      <c r="C952" s="76"/>
      <c r="D952" s="77"/>
      <c r="E952" s="62"/>
      <c r="F952" s="62"/>
      <c r="G952" s="76"/>
      <c r="H952" s="76"/>
      <c r="I952" s="76"/>
      <c r="J952" s="76"/>
      <c r="K952" s="76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spans="1:26" ht="15.75" customHeight="1" x14ac:dyDescent="0.25">
      <c r="A953" s="62"/>
      <c r="B953" s="62"/>
      <c r="C953" s="76"/>
      <c r="D953" s="77"/>
      <c r="E953" s="62"/>
      <c r="F953" s="62"/>
      <c r="G953" s="76"/>
      <c r="H953" s="76"/>
      <c r="I953" s="76"/>
      <c r="J953" s="76"/>
      <c r="K953" s="76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spans="1:26" ht="15.75" customHeight="1" x14ac:dyDescent="0.25">
      <c r="A954" s="62"/>
      <c r="B954" s="62"/>
      <c r="C954" s="76"/>
      <c r="D954" s="77"/>
      <c r="E954" s="62"/>
      <c r="F954" s="62"/>
      <c r="G954" s="76"/>
      <c r="H954" s="76"/>
      <c r="I954" s="76"/>
      <c r="J954" s="76"/>
      <c r="K954" s="76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spans="1:26" ht="15.75" customHeight="1" x14ac:dyDescent="0.25">
      <c r="A955" s="62"/>
      <c r="B955" s="62"/>
      <c r="C955" s="76"/>
      <c r="D955" s="77"/>
      <c r="E955" s="62"/>
      <c r="F955" s="62"/>
      <c r="G955" s="76"/>
      <c r="H955" s="76"/>
      <c r="I955" s="76"/>
      <c r="J955" s="76"/>
      <c r="K955" s="76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spans="1:26" ht="15.75" customHeight="1" x14ac:dyDescent="0.25">
      <c r="A956" s="62"/>
      <c r="B956" s="62"/>
      <c r="C956" s="76"/>
      <c r="D956" s="77"/>
      <c r="E956" s="62"/>
      <c r="F956" s="62"/>
      <c r="G956" s="76"/>
      <c r="H956" s="76"/>
      <c r="I956" s="76"/>
      <c r="J956" s="76"/>
      <c r="K956" s="76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spans="1:26" ht="15.75" customHeight="1" x14ac:dyDescent="0.25">
      <c r="A957" s="62"/>
      <c r="B957" s="62"/>
      <c r="C957" s="76"/>
      <c r="D957" s="77"/>
      <c r="E957" s="62"/>
      <c r="F957" s="62"/>
      <c r="G957" s="76"/>
      <c r="H957" s="76"/>
      <c r="I957" s="76"/>
      <c r="J957" s="76"/>
      <c r="K957" s="76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spans="1:26" ht="15.75" customHeight="1" x14ac:dyDescent="0.25">
      <c r="A958" s="62"/>
      <c r="B958" s="62"/>
      <c r="C958" s="76"/>
      <c r="D958" s="77"/>
      <c r="E958" s="62"/>
      <c r="F958" s="62"/>
      <c r="G958" s="76"/>
      <c r="H958" s="76"/>
      <c r="I958" s="76"/>
      <c r="J958" s="76"/>
      <c r="K958" s="76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spans="1:26" ht="15.75" customHeight="1" x14ac:dyDescent="0.25">
      <c r="A959" s="62"/>
      <c r="B959" s="62"/>
      <c r="C959" s="76"/>
      <c r="D959" s="77"/>
      <c r="E959" s="62"/>
      <c r="F959" s="62"/>
      <c r="G959" s="76"/>
      <c r="H959" s="76"/>
      <c r="I959" s="76"/>
      <c r="J959" s="76"/>
      <c r="K959" s="76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spans="1:26" ht="15.75" customHeight="1" x14ac:dyDescent="0.25">
      <c r="A960" s="62"/>
      <c r="B960" s="62"/>
      <c r="C960" s="76"/>
      <c r="D960" s="77"/>
      <c r="E960" s="62"/>
      <c r="F960" s="62"/>
      <c r="G960" s="76"/>
      <c r="H960" s="76"/>
      <c r="I960" s="76"/>
      <c r="J960" s="76"/>
      <c r="K960" s="76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spans="1:26" ht="15.75" customHeight="1" x14ac:dyDescent="0.25">
      <c r="A961" s="62"/>
      <c r="B961" s="62"/>
      <c r="C961" s="76"/>
      <c r="D961" s="77"/>
      <c r="E961" s="62"/>
      <c r="F961" s="62"/>
      <c r="G961" s="76"/>
      <c r="H961" s="76"/>
      <c r="I961" s="76"/>
      <c r="J961" s="76"/>
      <c r="K961" s="76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spans="1:26" ht="15.75" customHeight="1" x14ac:dyDescent="0.25">
      <c r="A962" s="62"/>
      <c r="B962" s="62"/>
      <c r="C962" s="76"/>
      <c r="D962" s="77"/>
      <c r="E962" s="62"/>
      <c r="F962" s="62"/>
      <c r="G962" s="76"/>
      <c r="H962" s="76"/>
      <c r="I962" s="76"/>
      <c r="J962" s="76"/>
      <c r="K962" s="76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spans="1:26" ht="15.75" customHeight="1" x14ac:dyDescent="0.25">
      <c r="A963" s="62"/>
      <c r="B963" s="62"/>
      <c r="C963" s="76"/>
      <c r="D963" s="77"/>
      <c r="E963" s="62"/>
      <c r="F963" s="62"/>
      <c r="G963" s="76"/>
      <c r="H963" s="76"/>
      <c r="I963" s="76"/>
      <c r="J963" s="76"/>
      <c r="K963" s="76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spans="1:26" ht="15.75" customHeight="1" x14ac:dyDescent="0.25">
      <c r="A964" s="62"/>
      <c r="B964" s="62"/>
      <c r="C964" s="76"/>
      <c r="D964" s="77"/>
      <c r="E964" s="62"/>
      <c r="F964" s="62"/>
      <c r="G964" s="76"/>
      <c r="H964" s="76"/>
      <c r="I964" s="76"/>
      <c r="J964" s="76"/>
      <c r="K964" s="76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spans="1:26" ht="15.75" customHeight="1" x14ac:dyDescent="0.25">
      <c r="A965" s="62"/>
      <c r="B965" s="62"/>
      <c r="C965" s="76"/>
      <c r="D965" s="77"/>
      <c r="E965" s="62"/>
      <c r="F965" s="62"/>
      <c r="G965" s="76"/>
      <c r="H965" s="76"/>
      <c r="I965" s="76"/>
      <c r="J965" s="76"/>
      <c r="K965" s="76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spans="1:26" ht="15.75" customHeight="1" x14ac:dyDescent="0.25">
      <c r="A966" s="62"/>
      <c r="B966" s="62"/>
      <c r="C966" s="76"/>
      <c r="D966" s="77"/>
      <c r="E966" s="62"/>
      <c r="F966" s="62"/>
      <c r="G966" s="76"/>
      <c r="H966" s="76"/>
      <c r="I966" s="76"/>
      <c r="J966" s="76"/>
      <c r="K966" s="76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spans="1:26" ht="15.75" customHeight="1" x14ac:dyDescent="0.25">
      <c r="A967" s="62"/>
      <c r="B967" s="62"/>
      <c r="C967" s="76"/>
      <c r="D967" s="77"/>
      <c r="E967" s="62"/>
      <c r="F967" s="62"/>
      <c r="G967" s="76"/>
      <c r="H967" s="76"/>
      <c r="I967" s="76"/>
      <c r="J967" s="76"/>
      <c r="K967" s="76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spans="1:26" ht="15.75" customHeight="1" x14ac:dyDescent="0.25">
      <c r="A968" s="62"/>
      <c r="B968" s="62"/>
      <c r="C968" s="76"/>
      <c r="D968" s="77"/>
      <c r="E968" s="62"/>
      <c r="F968" s="62"/>
      <c r="G968" s="76"/>
      <c r="H968" s="76"/>
      <c r="I968" s="76"/>
      <c r="J968" s="76"/>
      <c r="K968" s="76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spans="1:26" ht="15.75" customHeight="1" x14ac:dyDescent="0.25">
      <c r="A969" s="62"/>
      <c r="B969" s="62"/>
      <c r="C969" s="76"/>
      <c r="D969" s="77"/>
      <c r="E969" s="62"/>
      <c r="F969" s="62"/>
      <c r="G969" s="76"/>
      <c r="H969" s="76"/>
      <c r="I969" s="76"/>
      <c r="J969" s="76"/>
      <c r="K969" s="76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spans="1:26" ht="15.75" customHeight="1" x14ac:dyDescent="0.25">
      <c r="A970" s="62"/>
      <c r="B970" s="62"/>
      <c r="C970" s="76"/>
      <c r="D970" s="77"/>
      <c r="E970" s="62"/>
      <c r="F970" s="62"/>
      <c r="G970" s="76"/>
      <c r="H970" s="76"/>
      <c r="I970" s="76"/>
      <c r="J970" s="76"/>
      <c r="K970" s="76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spans="1:26" ht="15.75" customHeight="1" x14ac:dyDescent="0.25">
      <c r="A971" s="62"/>
      <c r="B971" s="62"/>
      <c r="C971" s="76"/>
      <c r="D971" s="77"/>
      <c r="E971" s="62"/>
      <c r="F971" s="62"/>
      <c r="G971" s="76"/>
      <c r="H971" s="76"/>
      <c r="I971" s="76"/>
      <c r="J971" s="76"/>
      <c r="K971" s="76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spans="1:26" ht="15.75" customHeight="1" x14ac:dyDescent="0.25">
      <c r="A972" s="62"/>
      <c r="B972" s="62"/>
      <c r="C972" s="76"/>
      <c r="D972" s="77"/>
      <c r="E972" s="62"/>
      <c r="F972" s="62"/>
      <c r="G972" s="76"/>
      <c r="H972" s="76"/>
      <c r="I972" s="76"/>
      <c r="J972" s="76"/>
      <c r="K972" s="76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spans="1:26" ht="15.75" customHeight="1" x14ac:dyDescent="0.25">
      <c r="A973" s="62"/>
      <c r="B973" s="62"/>
      <c r="C973" s="76"/>
      <c r="D973" s="77"/>
      <c r="E973" s="62"/>
      <c r="F973" s="62"/>
      <c r="G973" s="76"/>
      <c r="H973" s="76"/>
      <c r="I973" s="76"/>
      <c r="J973" s="76"/>
      <c r="K973" s="76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spans="1:26" ht="15.75" customHeight="1" x14ac:dyDescent="0.25">
      <c r="A974" s="62"/>
      <c r="B974" s="62"/>
      <c r="C974" s="76"/>
      <c r="D974" s="77"/>
      <c r="E974" s="62"/>
      <c r="F974" s="62"/>
      <c r="G974" s="76"/>
      <c r="H974" s="76"/>
      <c r="I974" s="76"/>
      <c r="J974" s="76"/>
      <c r="K974" s="76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spans="1:26" ht="15.75" customHeight="1" x14ac:dyDescent="0.25">
      <c r="A975" s="62"/>
      <c r="B975" s="62"/>
      <c r="C975" s="76"/>
      <c r="D975" s="77"/>
      <c r="E975" s="62"/>
      <c r="F975" s="62"/>
      <c r="G975" s="76"/>
      <c r="H975" s="76"/>
      <c r="I975" s="76"/>
      <c r="J975" s="76"/>
      <c r="K975" s="76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spans="1:26" ht="15.75" customHeight="1" x14ac:dyDescent="0.25">
      <c r="A976" s="62"/>
      <c r="B976" s="62"/>
      <c r="C976" s="76"/>
      <c r="D976" s="77"/>
      <c r="E976" s="62"/>
      <c r="F976" s="62"/>
      <c r="G976" s="76"/>
      <c r="H976" s="76"/>
      <c r="I976" s="76"/>
      <c r="J976" s="76"/>
      <c r="K976" s="76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spans="1:26" ht="15.75" customHeight="1" x14ac:dyDescent="0.25">
      <c r="A977" s="62"/>
      <c r="B977" s="62"/>
      <c r="C977" s="76"/>
      <c r="D977" s="77"/>
      <c r="E977" s="62"/>
      <c r="F977" s="62"/>
      <c r="G977" s="76"/>
      <c r="H977" s="76"/>
      <c r="I977" s="76"/>
      <c r="J977" s="76"/>
      <c r="K977" s="76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spans="1:26" ht="15.75" customHeight="1" x14ac:dyDescent="0.25">
      <c r="A978" s="62"/>
      <c r="B978" s="62"/>
      <c r="C978" s="76"/>
      <c r="D978" s="77"/>
      <c r="E978" s="62"/>
      <c r="F978" s="62"/>
      <c r="G978" s="76"/>
      <c r="H978" s="76"/>
      <c r="I978" s="76"/>
      <c r="J978" s="76"/>
      <c r="K978" s="76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spans="1:26" ht="15.75" customHeight="1" x14ac:dyDescent="0.25">
      <c r="A979" s="62"/>
      <c r="B979" s="62"/>
      <c r="C979" s="76"/>
      <c r="D979" s="77"/>
      <c r="E979" s="62"/>
      <c r="F979" s="62"/>
      <c r="G979" s="76"/>
      <c r="H979" s="76"/>
      <c r="I979" s="76"/>
      <c r="J979" s="76"/>
      <c r="K979" s="76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spans="1:26" ht="15.75" customHeight="1" x14ac:dyDescent="0.25">
      <c r="A980" s="62"/>
      <c r="B980" s="62"/>
      <c r="C980" s="76"/>
      <c r="D980" s="77"/>
      <c r="E980" s="62"/>
      <c r="F980" s="62"/>
      <c r="G980" s="76"/>
      <c r="H980" s="76"/>
      <c r="I980" s="76"/>
      <c r="J980" s="76"/>
      <c r="K980" s="76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spans="1:26" ht="15.75" customHeight="1" x14ac:dyDescent="0.25">
      <c r="A981" s="62"/>
      <c r="B981" s="62"/>
      <c r="C981" s="76"/>
      <c r="D981" s="77"/>
      <c r="E981" s="62"/>
      <c r="F981" s="62"/>
      <c r="G981" s="76"/>
      <c r="H981" s="76"/>
      <c r="I981" s="76"/>
      <c r="J981" s="76"/>
      <c r="K981" s="76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spans="1:26" ht="15.75" customHeight="1" x14ac:dyDescent="0.25">
      <c r="A982" s="62"/>
      <c r="B982" s="62"/>
      <c r="C982" s="76"/>
      <c r="D982" s="77"/>
      <c r="E982" s="62"/>
      <c r="F982" s="62"/>
      <c r="G982" s="76"/>
      <c r="H982" s="76"/>
      <c r="I982" s="76"/>
      <c r="J982" s="76"/>
      <c r="K982" s="76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spans="1:26" ht="15.75" customHeight="1" x14ac:dyDescent="0.25">
      <c r="A983" s="62"/>
      <c r="B983" s="62"/>
      <c r="C983" s="76"/>
      <c r="D983" s="77"/>
      <c r="E983" s="62"/>
      <c r="F983" s="62"/>
      <c r="G983" s="76"/>
      <c r="H983" s="76"/>
      <c r="I983" s="76"/>
      <c r="J983" s="76"/>
      <c r="K983" s="76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spans="1:26" ht="15.75" customHeight="1" x14ac:dyDescent="0.25">
      <c r="A984" s="62"/>
      <c r="B984" s="62"/>
      <c r="C984" s="76"/>
      <c r="D984" s="77"/>
      <c r="E984" s="62"/>
      <c r="F984" s="62"/>
      <c r="G984" s="76"/>
      <c r="H984" s="76"/>
      <c r="I984" s="76"/>
      <c r="J984" s="76"/>
      <c r="K984" s="76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spans="1:26" ht="15.75" customHeight="1" x14ac:dyDescent="0.25">
      <c r="A985" s="62"/>
      <c r="B985" s="62"/>
      <c r="C985" s="76"/>
      <c r="D985" s="77"/>
      <c r="E985" s="62"/>
      <c r="F985" s="62"/>
      <c r="G985" s="76"/>
      <c r="H985" s="76"/>
      <c r="I985" s="76"/>
      <c r="J985" s="76"/>
      <c r="K985" s="76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spans="1:26" ht="15.75" customHeight="1" x14ac:dyDescent="0.25">
      <c r="A986" s="62"/>
      <c r="B986" s="62"/>
      <c r="C986" s="76"/>
      <c r="D986" s="77"/>
      <c r="E986" s="62"/>
      <c r="F986" s="62"/>
      <c r="G986" s="76"/>
      <c r="H986" s="76"/>
      <c r="I986" s="76"/>
      <c r="J986" s="76"/>
      <c r="K986" s="76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spans="1:26" ht="15.75" customHeight="1" x14ac:dyDescent="0.25">
      <c r="A987" s="62"/>
      <c r="B987" s="62"/>
      <c r="C987" s="76"/>
      <c r="D987" s="77"/>
      <c r="E987" s="62"/>
      <c r="F987" s="62"/>
      <c r="G987" s="76"/>
      <c r="H987" s="76"/>
      <c r="I987" s="76"/>
      <c r="J987" s="76"/>
      <c r="K987" s="76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spans="1:26" ht="15.75" customHeight="1" x14ac:dyDescent="0.25">
      <c r="A988" s="62"/>
      <c r="B988" s="62"/>
      <c r="C988" s="76"/>
      <c r="D988" s="77"/>
      <c r="E988" s="62"/>
      <c r="F988" s="62"/>
      <c r="G988" s="76"/>
      <c r="H988" s="76"/>
      <c r="I988" s="76"/>
      <c r="J988" s="76"/>
      <c r="K988" s="76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spans="1:26" ht="15.75" customHeight="1" x14ac:dyDescent="0.25">
      <c r="A989" s="62"/>
      <c r="B989" s="62"/>
      <c r="C989" s="76"/>
      <c r="D989" s="77"/>
      <c r="E989" s="62"/>
      <c r="F989" s="62"/>
      <c r="G989" s="76"/>
      <c r="H989" s="76"/>
      <c r="I989" s="76"/>
      <c r="J989" s="76"/>
      <c r="K989" s="76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spans="1:26" ht="15.75" customHeight="1" x14ac:dyDescent="0.25">
      <c r="A990" s="62"/>
      <c r="B990" s="62"/>
      <c r="C990" s="76"/>
      <c r="D990" s="77"/>
      <c r="E990" s="62"/>
      <c r="F990" s="62"/>
      <c r="G990" s="76"/>
      <c r="H990" s="76"/>
      <c r="I990" s="76"/>
      <c r="J990" s="76"/>
      <c r="K990" s="76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spans="1:26" ht="15.75" customHeight="1" x14ac:dyDescent="0.25">
      <c r="A991" s="62"/>
      <c r="B991" s="62"/>
      <c r="C991" s="76"/>
      <c r="D991" s="77"/>
      <c r="E991" s="62"/>
      <c r="F991" s="62"/>
      <c r="G991" s="76"/>
      <c r="H991" s="76"/>
      <c r="I991" s="76"/>
      <c r="J991" s="76"/>
      <c r="K991" s="76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spans="1:26" ht="15.75" customHeight="1" x14ac:dyDescent="0.25">
      <c r="A992" s="62"/>
      <c r="B992" s="62"/>
      <c r="C992" s="76"/>
      <c r="D992" s="77"/>
      <c r="E992" s="62"/>
      <c r="F992" s="62"/>
      <c r="G992" s="76"/>
      <c r="H992" s="76"/>
      <c r="I992" s="76"/>
      <c r="J992" s="76"/>
      <c r="K992" s="76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spans="1:26" ht="15.75" customHeight="1" x14ac:dyDescent="0.25">
      <c r="A993" s="62"/>
      <c r="B993" s="62"/>
      <c r="C993" s="76"/>
      <c r="D993" s="77"/>
      <c r="E993" s="62"/>
      <c r="F993" s="62"/>
      <c r="G993" s="76"/>
      <c r="H993" s="76"/>
      <c r="I993" s="76"/>
      <c r="J993" s="76"/>
      <c r="K993" s="76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spans="1:26" ht="15.75" customHeight="1" x14ac:dyDescent="0.25">
      <c r="A994" s="62"/>
      <c r="B994" s="62"/>
      <c r="C994" s="76"/>
      <c r="D994" s="77"/>
      <c r="E994" s="62"/>
      <c r="F994" s="62"/>
      <c r="G994" s="76"/>
      <c r="H994" s="76"/>
      <c r="I994" s="76"/>
      <c r="J994" s="76"/>
      <c r="K994" s="76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spans="1:26" ht="15.75" customHeight="1" x14ac:dyDescent="0.25">
      <c r="A995" s="62"/>
      <c r="B995" s="62"/>
      <c r="C995" s="76"/>
      <c r="D995" s="77"/>
      <c r="E995" s="62"/>
      <c r="F995" s="62"/>
      <c r="G995" s="76"/>
      <c r="H995" s="76"/>
      <c r="I995" s="76"/>
      <c r="J995" s="76"/>
      <c r="K995" s="76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spans="1:26" ht="15.75" customHeight="1" x14ac:dyDescent="0.25">
      <c r="A996" s="62"/>
      <c r="B996" s="62"/>
      <c r="C996" s="76"/>
      <c r="D996" s="77"/>
      <c r="E996" s="62"/>
      <c r="F996" s="62"/>
      <c r="G996" s="76"/>
      <c r="H996" s="76"/>
      <c r="I996" s="76"/>
      <c r="J996" s="76"/>
      <c r="K996" s="76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spans="1:26" ht="15.75" customHeight="1" x14ac:dyDescent="0.25">
      <c r="A997" s="62"/>
      <c r="B997" s="62"/>
      <c r="C997" s="76"/>
      <c r="D997" s="77"/>
      <c r="E997" s="62"/>
      <c r="F997" s="62"/>
      <c r="G997" s="76"/>
      <c r="H997" s="76"/>
      <c r="I997" s="76"/>
      <c r="J997" s="76"/>
      <c r="K997" s="76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spans="1:26" ht="15.75" customHeight="1" x14ac:dyDescent="0.25">
      <c r="A998" s="62"/>
      <c r="B998" s="62"/>
      <c r="C998" s="76"/>
      <c r="D998" s="77"/>
      <c r="E998" s="62"/>
      <c r="F998" s="62"/>
      <c r="G998" s="76"/>
      <c r="H998" s="76"/>
      <c r="I998" s="76"/>
      <c r="J998" s="76"/>
      <c r="K998" s="76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spans="1:26" ht="15.75" customHeight="1" x14ac:dyDescent="0.25">
      <c r="A999" s="62"/>
      <c r="B999" s="62"/>
      <c r="C999" s="76"/>
      <c r="D999" s="77"/>
      <c r="E999" s="62"/>
      <c r="F999" s="62"/>
      <c r="G999" s="76"/>
      <c r="H999" s="76"/>
      <c r="I999" s="76"/>
      <c r="J999" s="76"/>
      <c r="K999" s="76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spans="1:26" ht="15.75" customHeight="1" x14ac:dyDescent="0.25">
      <c r="A1000" s="62"/>
      <c r="B1000" s="62"/>
      <c r="C1000" s="76"/>
      <c r="D1000" s="77"/>
      <c r="E1000" s="62"/>
      <c r="F1000" s="62"/>
      <c r="G1000" s="76"/>
      <c r="H1000" s="76"/>
      <c r="I1000" s="76"/>
      <c r="J1000" s="76"/>
      <c r="K1000" s="76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4">
    <mergeCell ref="B2:C2"/>
    <mergeCell ref="B13:C13"/>
    <mergeCell ref="B23:C23"/>
    <mergeCell ref="B37:C37"/>
  </mergeCells>
  <dataValidations count="1">
    <dataValidation type="list" allowBlank="1" showErrorMessage="1" sqref="C11" xr:uid="{00000000-0002-0000-0800-000000000000}">
      <formula1>"Ja,Nei"</formula1>
    </dataValidation>
  </dataValidation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1000"/>
  <sheetViews>
    <sheetView workbookViewId="0"/>
  </sheetViews>
  <sheetFormatPr baseColWidth="10" defaultColWidth="12.5703125" defaultRowHeight="15" customHeight="1" x14ac:dyDescent="0.2"/>
  <cols>
    <col min="1" max="1" width="10.5703125" customWidth="1"/>
    <col min="2" max="2" width="14" customWidth="1"/>
    <col min="3" max="26" width="10.5703125" customWidth="1"/>
  </cols>
  <sheetData>
    <row r="1" spans="2:7" ht="12.75" customHeight="1" x14ac:dyDescent="0.2"/>
    <row r="2" spans="2:7" ht="20.25" x14ac:dyDescent="0.3">
      <c r="B2" s="173" t="s">
        <v>193</v>
      </c>
      <c r="C2" s="171"/>
      <c r="D2" s="171"/>
      <c r="E2" s="171"/>
      <c r="F2" s="171"/>
      <c r="G2" s="171"/>
    </row>
    <row r="3" spans="2:7" ht="12.75" customHeight="1" x14ac:dyDescent="0.2"/>
    <row r="4" spans="2:7" ht="12.75" customHeight="1" x14ac:dyDescent="0.2">
      <c r="B4" s="5" t="s">
        <v>194</v>
      </c>
    </row>
    <row r="5" spans="2:7" ht="12.75" customHeight="1" x14ac:dyDescent="0.2"/>
    <row r="6" spans="2:7" ht="12.75" customHeight="1" x14ac:dyDescent="0.2">
      <c r="C6" s="166" t="s">
        <v>195</v>
      </c>
      <c r="D6" s="166"/>
      <c r="E6" s="167"/>
    </row>
    <row r="7" spans="2:7" ht="12.75" customHeight="1" x14ac:dyDescent="0.2"/>
    <row r="8" spans="2:7" ht="12.75" customHeight="1" x14ac:dyDescent="0.25">
      <c r="C8" s="168" t="s">
        <v>196</v>
      </c>
      <c r="D8" s="169"/>
      <c r="E8" s="169"/>
      <c r="F8" s="169"/>
    </row>
    <row r="9" spans="2:7" ht="12.75" customHeight="1" x14ac:dyDescent="0.2"/>
    <row r="10" spans="2:7" ht="12.75" customHeight="1" x14ac:dyDescent="0.2">
      <c r="C10" s="5" t="s">
        <v>197</v>
      </c>
    </row>
    <row r="11" spans="2:7" ht="12.75" customHeight="1" x14ac:dyDescent="0.2">
      <c r="C11" s="5" t="s">
        <v>198</v>
      </c>
    </row>
    <row r="12" spans="2:7" ht="12.75" customHeight="1" x14ac:dyDescent="0.2"/>
    <row r="13" spans="2:7" ht="12.75" customHeight="1" x14ac:dyDescent="0.2">
      <c r="C13" s="5" t="s">
        <v>199</v>
      </c>
    </row>
    <row r="14" spans="2:7" ht="12.75" customHeight="1" x14ac:dyDescent="0.2">
      <c r="C14" s="5" t="s">
        <v>200</v>
      </c>
    </row>
    <row r="15" spans="2:7" ht="12.75" customHeight="1" x14ac:dyDescent="0.2">
      <c r="C15" s="5" t="s">
        <v>201</v>
      </c>
    </row>
    <row r="16" spans="2:7" ht="12.75" customHeight="1" x14ac:dyDescent="0.2">
      <c r="C16" s="5" t="s">
        <v>202</v>
      </c>
    </row>
    <row r="17" spans="3:7" ht="12.75" customHeight="1" x14ac:dyDescent="0.2"/>
    <row r="18" spans="3:7" ht="12.75" customHeight="1" x14ac:dyDescent="0.2">
      <c r="C18" s="5" t="s">
        <v>203</v>
      </c>
    </row>
    <row r="19" spans="3:7" ht="12.75" customHeight="1" x14ac:dyDescent="0.2">
      <c r="C19" s="5" t="s">
        <v>204</v>
      </c>
    </row>
    <row r="20" spans="3:7" ht="12.75" customHeight="1" x14ac:dyDescent="0.2"/>
    <row r="21" spans="3:7" ht="12.75" customHeight="1" x14ac:dyDescent="0.2">
      <c r="C21" s="5" t="s">
        <v>205</v>
      </c>
    </row>
    <row r="22" spans="3:7" ht="12.75" customHeight="1" x14ac:dyDescent="0.2">
      <c r="C22" s="5" t="s">
        <v>206</v>
      </c>
    </row>
    <row r="23" spans="3:7" ht="12.75" customHeight="1" x14ac:dyDescent="0.2">
      <c r="C23" s="5" t="s">
        <v>207</v>
      </c>
    </row>
    <row r="24" spans="3:7" ht="12.75" customHeight="1" x14ac:dyDescent="0.2"/>
    <row r="25" spans="3:7" ht="12.75" customHeight="1" x14ac:dyDescent="0.2">
      <c r="C25" s="5" t="s">
        <v>208</v>
      </c>
    </row>
    <row r="26" spans="3:7" ht="12.75" customHeight="1" x14ac:dyDescent="0.2">
      <c r="C26" s="5" t="s">
        <v>209</v>
      </c>
    </row>
    <row r="27" spans="3:7" ht="12.75" customHeight="1" x14ac:dyDescent="0.2">
      <c r="C27" s="5" t="s">
        <v>210</v>
      </c>
    </row>
    <row r="28" spans="3:7" ht="12.75" customHeight="1" x14ac:dyDescent="0.2">
      <c r="C28" s="5" t="s">
        <v>211</v>
      </c>
    </row>
    <row r="29" spans="3:7" ht="12.75" customHeight="1" x14ac:dyDescent="0.2"/>
    <row r="30" spans="3:7" ht="12.75" customHeight="1" x14ac:dyDescent="0.2">
      <c r="C30" s="4" t="s">
        <v>212</v>
      </c>
      <c r="D30" s="4"/>
      <c r="E30" s="4"/>
      <c r="F30" s="4"/>
      <c r="G30" s="4"/>
    </row>
    <row r="31" spans="3:7" ht="12.75" customHeight="1" x14ac:dyDescent="0.2">
      <c r="C31" s="4" t="s">
        <v>213</v>
      </c>
      <c r="D31" s="4"/>
      <c r="E31" s="4"/>
      <c r="F31" s="4"/>
      <c r="G31" s="4"/>
    </row>
    <row r="32" spans="3:7" ht="12.75" customHeight="1" x14ac:dyDescent="0.2">
      <c r="C32" s="4" t="s">
        <v>214</v>
      </c>
      <c r="D32" s="4"/>
      <c r="E32" s="4"/>
      <c r="F32" s="4"/>
      <c r="G32" s="4"/>
    </row>
    <row r="33" spans="3:7" ht="12.75" customHeight="1" x14ac:dyDescent="0.2">
      <c r="C33" s="4" t="s">
        <v>215</v>
      </c>
      <c r="D33" s="4"/>
      <c r="E33" s="4"/>
      <c r="F33" s="4"/>
      <c r="G33" s="4"/>
    </row>
    <row r="34" spans="3:7" ht="12.75" customHeight="1" x14ac:dyDescent="0.2">
      <c r="C34" s="4" t="s">
        <v>216</v>
      </c>
      <c r="D34" s="4"/>
      <c r="E34" s="4"/>
      <c r="F34" s="4"/>
      <c r="G34" s="4"/>
    </row>
    <row r="35" spans="3:7" ht="12.75" customHeight="1" x14ac:dyDescent="0.2"/>
    <row r="36" spans="3:7" ht="12.75" customHeight="1" x14ac:dyDescent="0.2">
      <c r="C36" s="5" t="s">
        <v>217</v>
      </c>
    </row>
    <row r="37" spans="3:7" ht="12.75" customHeight="1" x14ac:dyDescent="0.2">
      <c r="C37" s="5" t="s">
        <v>218</v>
      </c>
    </row>
    <row r="38" spans="3:7" ht="12.75" customHeight="1" x14ac:dyDescent="0.2"/>
    <row r="39" spans="3:7" ht="12.75" customHeight="1" x14ac:dyDescent="0.2"/>
    <row r="40" spans="3:7" ht="12.75" customHeight="1" x14ac:dyDescent="0.2"/>
    <row r="41" spans="3:7" ht="12.75" customHeight="1" x14ac:dyDescent="0.2"/>
    <row r="42" spans="3:7" ht="12.75" customHeight="1" x14ac:dyDescent="0.2"/>
    <row r="43" spans="3:7" ht="12.75" customHeight="1" x14ac:dyDescent="0.2"/>
    <row r="44" spans="3:7" ht="12.75" customHeight="1" x14ac:dyDescent="0.2"/>
    <row r="45" spans="3:7" ht="12.75" customHeight="1" x14ac:dyDescent="0.2"/>
    <row r="46" spans="3:7" ht="12.75" customHeight="1" x14ac:dyDescent="0.2"/>
    <row r="47" spans="3:7" ht="12.75" customHeight="1" x14ac:dyDescent="0.2"/>
    <row r="48" spans="3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B2:G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Total oversikt</vt:lpstr>
      <vt:lpstr>Kalkyle - 2021</vt:lpstr>
      <vt:lpstr>Lån - Kalkyle 2021</vt:lpstr>
      <vt:lpstr>Risiko</vt:lpstr>
      <vt:lpstr>Oversikt 1 objekt 2021</vt:lpstr>
      <vt:lpstr>Sammenligning A og B</vt:lpstr>
      <vt:lpstr>Skatt ved salg</vt:lpstr>
      <vt:lpstr>Lån A</vt:lpstr>
      <vt:lpstr>Lån B</vt:lpstr>
      <vt:lpstr>Bruksanvisning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Pål Restad</dc:creator>
  <cp:lastModifiedBy>Anders Skjold Lundøy</cp:lastModifiedBy>
  <dcterms:created xsi:type="dcterms:W3CDTF">2020-07-07T09:23:40Z</dcterms:created>
  <dcterms:modified xsi:type="dcterms:W3CDTF">2025-10-17T08:39:05Z</dcterms:modified>
</cp:coreProperties>
</file>